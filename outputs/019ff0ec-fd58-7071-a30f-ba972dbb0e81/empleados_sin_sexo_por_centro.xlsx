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2b16c71714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76c261c9253a4b19"/>
    <x:sheet xmlns:r="http://schemas.openxmlformats.org/officeDocument/2006/relationships" name="Listado agrupado" sheetId="2" r:id="Rfc4508aa7ac94533"/>
    <x:sheet xmlns:r="http://schemas.openxmlformats.org/officeDocument/2006/relationships" name="Base filtrable" sheetId="3" r:id="R9e6d6340136f49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0.0%"/>
  </x:numFmts>
  <x:fonts count="13">
    <x:font>
      <x:sz val="11"/>
      <x:name val="Carlito"/>
    </x:font>
    <x:font>
      <x:sz val="10"/>
      <x:color rgb="FF213547"/>
      <x:name val="Aptos"/>
    </x:font>
    <x:font>
      <x:b/>
      <x:sz val="18"/>
      <x:color rgb="FFFFFFFF"/>
      <x:name val="Aptos"/>
    </x:font>
    <x:font>
      <x:b/>
      <x:sz val="11"/>
      <x:color rgb="FF0B6B50"/>
      <x:name val="Aptos"/>
    </x:font>
    <x:font>
      <x:i/>
      <x:sz val="10"/>
      <x:color rgb="FF213547"/>
      <x:name val="Aptos"/>
    </x:font>
    <x:font>
      <x:b/>
      <x:sz val="10"/>
      <x:color rgb="FFFFFFFF"/>
      <x:name val="Aptos"/>
    </x:font>
    <x:font>
      <x:sz val="11"/>
      <x:name val="Aptos"/>
    </x:font>
    <x:font>
      <x:b/>
      <x:sz val="20"/>
      <x:color rgb="FFFFFFFF"/>
      <x:name val="Aptos"/>
    </x:font>
    <x:font>
      <x:b/>
      <x:sz val="24"/>
      <x:color rgb="FF0B6B50"/>
      <x:name val="Aptos"/>
    </x:font>
    <x:font>
      <x:b/>
      <x:sz val="24"/>
      <x:color rgb="FF9A5B00"/>
      <x:name val="Aptos"/>
    </x:font>
    <x:font>
      <x:b/>
      <x:sz val="11"/>
      <x:color rgb="FFFFFFFF"/>
      <x:name val="Aptos"/>
    </x:font>
    <x:font>
      <x:b/>
      <x:sz val="10"/>
      <x:color rgb="FF0B6B50"/>
      <x:name val="Aptos"/>
    </x:font>
    <x:font>
      <x:b/>
      <x:sz val="10"/>
      <x:color rgb="FF9A5B0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0B6B50"/>
      </x:patternFill>
    </x:fill>
    <x:fill>
      <x:patternFill patternType="solid">
        <x:fgColor rgb="FFE8F7F1"/>
      </x:patternFill>
    </x:fill>
    <x:fill>
      <x:patternFill patternType="solid">
        <x:fgColor rgb="FFFFFFFF"/>
      </x:patternFill>
    </x:fill>
    <x:fill>
      <x:patternFill patternType="solid">
        <x:fgColor rgb="FF20B987"/>
      </x:patternFill>
    </x:fill>
    <x:fill>
      <x:patternFill patternType="solid">
        <x:fgColor rgb="FF213547"/>
      </x:patternFill>
    </x:fill>
    <x:fill>
      <x:patternFill patternType="solid">
        <x:fgColor rgb="FFFFF4D6"/>
      </x:patternFill>
    </x:fill>
    <x:fill>
      <x:patternFill patternType="solid">
        <x:fgColor rgb="FFF3F6F8"/>
      </x:patternFill>
    </x:fill>
  </x:fills>
  <x:borders count="18">
    <x:border/>
    <x:border>
      <x:left style="thin">
        <x:color rgb="FF0B6B50"/>
      </x:left>
      <x:top style="thin">
        <x:color rgb="FF0B6B50"/>
      </x:top>
      <x:bottom style="thin">
        <x:color rgb="FF0B6B50"/>
      </x:bottom>
    </x:border>
    <x:border>
      <x:top style="thin">
        <x:color rgb="FF0B6B50"/>
      </x:top>
      <x:bottom style="thin">
        <x:color rgb="FF0B6B50"/>
      </x:bottom>
    </x:border>
    <x:border>
      <x:right style="thin">
        <x:color rgb="FF0B6B50"/>
      </x:right>
      <x:top style="thin">
        <x:color rgb="FF0B6B50"/>
      </x:top>
      <x:bottom style="thin">
        <x:color rgb="FF0B6B50"/>
      </x:bottom>
    </x:border>
    <x:border>
      <x:bottom style="thin">
        <x:color rgb="FFD7E2E0"/>
      </x:bottom>
    </x:border>
    <x:border>
      <x:top style="thin">
        <x:color rgb="FFD7E2E0"/>
      </x:top>
      <x:bottom style="thin">
        <x:color rgb="FFD7E2E0"/>
      </x:bottom>
    </x:border>
    <x:border>
      <x:top style="thin">
        <x:color rgb="FFD7E2E0"/>
      </x:top>
    </x:border>
    <x:border>
      <x:left style="thin">
        <x:color rgb="FF20B987"/>
      </x:left>
      <x:top style="thin">
        <x:color rgb="FF20B987"/>
      </x:top>
    </x:border>
    <x:border>
      <x:right style="thin">
        <x:color rgb="FF20B987"/>
      </x:right>
      <x:top style="thin">
        <x:color rgb="FF20B987"/>
      </x:top>
    </x:border>
    <x:border>
      <x:left style="thin">
        <x:color rgb="FF20B987"/>
      </x:left>
      <x:bottom style="thin">
        <x:color rgb="FF20B987"/>
      </x:bottom>
    </x:border>
    <x:border>
      <x:right style="thin">
        <x:color rgb="FF20B987"/>
      </x:right>
      <x:bottom style="thin">
        <x:color rgb="FF20B987"/>
      </x:bottom>
    </x:border>
    <x:border>
      <x:top style="thin">
        <x:color rgb="FF20B987"/>
      </x:top>
    </x:border>
    <x:border>
      <x:bottom style="thin">
        <x:color rgb="FF20B987"/>
      </x:bottom>
    </x:border>
    <x:border>
      <x:left style="thin">
        <x:color rgb="FFD7E2E0"/>
      </x:left>
      <x:top style="thin">
        <x:color rgb="FFD7E2E0"/>
      </x:top>
      <x:bottom style="thin">
        <x:color rgb="FFD7E2E0"/>
      </x:bottom>
    </x:border>
    <x:border>
      <x:right style="thin">
        <x:color rgb="FFD7E2E0"/>
      </x:right>
      <x:top style="thin">
        <x:color rgb="FFD7E2E0"/>
      </x:top>
      <x:bottom style="thin">
        <x:color rgb="FFD7E2E0"/>
      </x:bottom>
    </x:border>
    <x:border>
      <x:left style="thin">
        <x:color rgb="FF20B987"/>
      </x:left>
      <x:top style="thin">
        <x:color rgb="FF20B987"/>
      </x:top>
      <x:bottom style="thin">
        <x:color rgb="FF20B987"/>
      </x:bottom>
    </x:border>
    <x:border>
      <x:top style="thin">
        <x:color rgb="FF20B987"/>
      </x:top>
      <x:bottom style="thin">
        <x:color rgb="FF20B987"/>
      </x:bottom>
    </x:border>
    <x:border>
      <x:right style="thin">
        <x:color rgb="FF20B987"/>
      </x:right>
      <x:top style="thin">
        <x:color rgb="FF20B987"/>
      </x:top>
      <x:bottom style="thin">
        <x:color rgb="FF20B987"/>
      </x:bottom>
    </x:border>
  </x:borders>
  <x:cellStyleXfs count="1">
    <x:xf numFmtId="0" fontId="0" fillId="0" borderId="0"/>
  </x:cellStyleXfs>
  <x:cellXfs count="15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wrapText="1"/>
    </x:xf>
    <x:xf numFmtId="0" fontId="5" fillId="5" borderId="3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2" xfId="0" applyNumberFormat="1" applyFont="1" applyFill="1" applyBorder="1" applyAlignment="1">
      <x:alignment horizontal="center" wrapText="1"/>
    </x:xf>
    <x:xf numFmtId="0" fontId="5" fillId="5" borderId="3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horizontal="center"/>
    </x:xf>
    <x:xf numFmtId="200" fontId="1" fillId="0" borderId="4" xfId="0" applyNumberFormat="1" applyFont="1" applyFill="1" applyBorder="1" applyAlignment="1">
      <x:alignment horizontal="center"/>
    </x:xf>
    <x:xf numFmtId="201" fontId="1" fillId="0" borderId="4" xfId="0" applyNumberFormat="1" applyFont="1" applyFill="1" applyBorder="1" applyAlignment="1">
      <x:alignment horizontal="center"/>
    </x:xf>
    <x:xf numFmtId="0" fontId="1" fillId="0" borderId="5" xfId="0" applyNumberFormat="1" applyFont="1" applyFill="1" applyBorder="1"/>
    <x:xf numFmtId="0" fontId="1" fillId="0" borderId="5" xfId="0" applyNumberFormat="1" applyFont="1" applyFill="1" applyBorder="1" applyAlignment="1">
      <x:alignment horizontal="center"/>
    </x:xf>
    <x:xf numFmtId="200" fontId="1" fillId="0" borderId="5" xfId="0" applyNumberFormat="1" applyFont="1" applyFill="1" applyBorder="1" applyAlignment="1">
      <x:alignment horizontal="center"/>
    </x:xf>
    <x:xf numFmtId="201" fontId="1" fillId="0" borderId="5" xfId="0" applyNumberFormat="1" applyFont="1" applyFill="1" applyBorder="1" applyAlignment="1">
      <x:alignment horizontal="center"/>
    </x:xf>
    <x:xf numFmtId="0" fontId="1" fillId="0" borderId="6" xfId="0" applyNumberFormat="1" applyFont="1" applyFill="1" applyBorder="1"/>
    <x:xf numFmtId="0" fontId="1" fillId="0" borderId="6" xfId="0" applyNumberFormat="1" applyFont="1" applyFill="1" applyBorder="1" applyAlignment="1">
      <x:alignment horizontal="center"/>
    </x:xf>
    <x:xf numFmtId="200" fontId="1" fillId="0" borderId="6" xfId="0" applyNumberFormat="1" applyFont="1" applyFill="1" applyBorder="1" applyAlignment="1">
      <x:alignment horizontal="center"/>
    </x:xf>
    <x:xf numFmtId="201" fontId="1" fillId="0" borderId="6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10" xfId="0" applyNumberFormat="1" applyFont="1" applyFill="1" applyBorder="1"/>
    <x:xf numFmtId="202" fontId="8" fillId="3" borderId="7" xfId="0" applyNumberFormat="1" applyFont="1" applyFill="1" applyBorder="1"/>
    <x:xf numFmtId="202" fontId="8" fillId="3" borderId="8" xfId="0" applyNumberFormat="1" applyFont="1" applyFill="1" applyBorder="1"/>
    <x:xf numFmtId="202" fontId="8" fillId="3" borderId="9" xfId="0" applyNumberFormat="1" applyFont="1" applyFill="1" applyBorder="1"/>
    <x:xf numFmtId="202" fontId="8" fillId="3" borderId="10" xfId="0" applyNumberFormat="1" applyFont="1" applyFill="1" applyBorder="1"/>
    <x:xf numFmtId="202" fontId="8" fillId="3" borderId="7" xfId="0" applyNumberFormat="1" applyFont="1" applyFill="1" applyBorder="1" applyAlignment="1">
      <x:alignment horizontal="center"/>
    </x:xf>
    <x:xf numFmtId="202" fontId="8" fillId="3" borderId="8" xfId="0" applyNumberFormat="1" applyFont="1" applyFill="1" applyBorder="1" applyAlignment="1">
      <x:alignment horizontal="center"/>
    </x:xf>
    <x:xf numFmtId="202" fontId="8" fillId="3" borderId="9" xfId="0" applyNumberFormat="1" applyFont="1" applyFill="1" applyBorder="1" applyAlignment="1">
      <x:alignment horizontal="center"/>
    </x:xf>
    <x:xf numFmtId="202" fontId="8" fillId="3" borderId="10" xfId="0" applyNumberFormat="1" applyFont="1" applyFill="1" applyBorder="1" applyAlignment="1">
      <x:alignment horizontal="center"/>
    </x:xf>
    <x:xf numFmtId="202" fontId="8" fillId="3" borderId="7" xfId="0" applyNumberFormat="1" applyFont="1" applyFill="1" applyBorder="1" applyAlignment="1">
      <x:alignment horizontal="center" vertical="center"/>
    </x:xf>
    <x:xf numFmtId="202" fontId="8" fillId="3" borderId="8" xfId="0" applyNumberFormat="1" applyFont="1" applyFill="1" applyBorder="1" applyAlignment="1">
      <x:alignment horizontal="center" vertical="center"/>
    </x:xf>
    <x:xf numFmtId="202" fontId="8" fillId="3" borderId="9" xfId="0" applyNumberFormat="1" applyFont="1" applyFill="1" applyBorder="1" applyAlignment="1">
      <x:alignment horizontal="center" vertical="center"/>
    </x:xf>
    <x:xf numFmtId="202" fontId="8" fillId="3" borderId="10" xfId="0" applyNumberFormat="1" applyFont="1" applyFill="1" applyBorder="1" applyAlignment="1">
      <x:alignment horizontal="center" vertical="center"/>
    </x:xf>
    <x:xf numFmtId="0" fontId="8" fillId="3" borderId="11" xfId="0" applyNumberFormat="1" applyFont="1" applyFill="1" applyBorder="1"/>
    <x:xf numFmtId="0" fontId="8" fillId="3" borderId="12" xfId="0" applyNumberFormat="1" applyFont="1" applyFill="1" applyBorder="1"/>
    <x:xf numFmtId="202" fontId="8" fillId="3" borderId="11" xfId="0" applyNumberFormat="1" applyFont="1" applyFill="1" applyBorder="1"/>
    <x:xf numFmtId="202" fontId="8" fillId="3" borderId="12" xfId="0" applyNumberFormat="1" applyFont="1" applyFill="1" applyBorder="1"/>
    <x:xf numFmtId="202" fontId="8" fillId="3" borderId="11" xfId="0" applyNumberFormat="1" applyFont="1" applyFill="1" applyBorder="1" applyAlignment="1">
      <x:alignment horizontal="center"/>
    </x:xf>
    <x:xf numFmtId="202" fontId="8" fillId="3" borderId="12" xfId="0" applyNumberFormat="1" applyFont="1" applyFill="1" applyBorder="1" applyAlignment="1">
      <x:alignment horizontal="center"/>
    </x:xf>
    <x:xf numFmtId="202" fontId="8" fillId="3" borderId="11" xfId="0" applyNumberFormat="1" applyFont="1" applyFill="1" applyBorder="1" applyAlignment="1">
      <x:alignment horizontal="center" vertical="center"/>
    </x:xf>
    <x:xf numFmtId="202" fontId="8" fillId="3" borderId="12" xfId="0" applyNumberFormat="1" applyFont="1" applyFill="1" applyBorder="1" applyAlignment="1">
      <x:alignment horizontal="center" vertical="center"/>
    </x:xf>
    <x:xf numFmtId="202" fontId="8" fillId="7" borderId="7" xfId="0" applyNumberFormat="1" applyFont="1" applyFill="1" applyBorder="1" applyAlignment="1">
      <x:alignment horizontal="center" vertical="center"/>
    </x:xf>
    <x:xf numFmtId="202" fontId="8" fillId="7" borderId="11" xfId="0" applyNumberFormat="1" applyFont="1" applyFill="1" applyBorder="1" applyAlignment="1">
      <x:alignment horizontal="center" vertical="center"/>
    </x:xf>
    <x:xf numFmtId="202" fontId="8" fillId="7" borderId="8" xfId="0" applyNumberFormat="1" applyFont="1" applyFill="1" applyBorder="1" applyAlignment="1">
      <x:alignment horizontal="center" vertical="center"/>
    </x:xf>
    <x:xf numFmtId="202" fontId="8" fillId="7" borderId="9" xfId="0" applyNumberFormat="1" applyFont="1" applyFill="1" applyBorder="1" applyAlignment="1">
      <x:alignment horizontal="center" vertical="center"/>
    </x:xf>
    <x:xf numFmtId="202" fontId="8" fillId="7" borderId="12" xfId="0" applyNumberFormat="1" applyFont="1" applyFill="1" applyBorder="1" applyAlignment="1">
      <x:alignment horizontal="center" vertical="center"/>
    </x:xf>
    <x:xf numFmtId="202" fontId="8" fillId="7" borderId="10" xfId="0" applyNumberFormat="1" applyFont="1" applyFill="1" applyBorder="1" applyAlignment="1">
      <x:alignment horizontal="center" vertical="center"/>
    </x:xf>
    <x:xf numFmtId="202" fontId="9" fillId="7" borderId="7" xfId="0" applyNumberFormat="1" applyFont="1" applyFill="1" applyBorder="1" applyAlignment="1">
      <x:alignment horizontal="center" vertical="center"/>
    </x:xf>
    <x:xf numFmtId="202" fontId="9" fillId="7" borderId="11" xfId="0" applyNumberFormat="1" applyFont="1" applyFill="1" applyBorder="1" applyAlignment="1">
      <x:alignment horizontal="center" vertical="center"/>
    </x:xf>
    <x:xf numFmtId="202" fontId="9" fillId="7" borderId="8" xfId="0" applyNumberFormat="1" applyFont="1" applyFill="1" applyBorder="1" applyAlignment="1">
      <x:alignment horizontal="center" vertical="center"/>
    </x:xf>
    <x:xf numFmtId="202" fontId="9" fillId="7" borderId="9" xfId="0" applyNumberFormat="1" applyFont="1" applyFill="1" applyBorder="1" applyAlignment="1">
      <x:alignment horizontal="center" vertical="center"/>
    </x:xf>
    <x:xf numFmtId="202" fontId="9" fillId="7" borderId="12" xfId="0" applyNumberFormat="1" applyFont="1" applyFill="1" applyBorder="1" applyAlignment="1">
      <x:alignment horizontal="center" vertical="center"/>
    </x:xf>
    <x:xf numFmtId="202" fontId="9" fillId="7" borderId="1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13" xfId="0" applyNumberFormat="1" applyFont="1" applyFill="1" applyBorder="1"/>
    <x:xf numFmtId="0" fontId="4" fillId="8" borderId="5" xfId="0" applyNumberFormat="1" applyFont="1" applyFill="1" applyBorder="1"/>
    <x:xf numFmtId="0" fontId="4" fillId="8" borderId="14" xfId="0" applyNumberFormat="1" applyFont="1" applyFill="1" applyBorder="1"/>
    <x:xf numFmtId="0" fontId="4" fillId="8" borderId="13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wrapText="1"/>
    </x:xf>
    <x:xf numFmtId="0" fontId="4" fillId="8" borderId="14" xfId="0" applyNumberFormat="1" applyFont="1" applyFill="1" applyBorder="1" applyAlignment="1">
      <x:alignment wrapText="1"/>
    </x:xf>
    <x:xf numFmtId="0" fontId="4" fillId="8" borderId="13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14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/>
    </x:xf>
    <x:xf numFmtId="0" fontId="5" fillId="5" borderId="2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202" fontId="1" fillId="0" borderId="4" xfId="0" applyNumberFormat="1" applyFont="1" applyFill="1" applyBorder="1"/>
    <x:xf numFmtId="202" fontId="1" fillId="0" borderId="5" xfId="0" applyNumberFormat="1" applyFont="1" applyFill="1" applyBorder="1"/>
    <x:xf numFmtId="202" fontId="1" fillId="0" borderId="6" xfId="0" applyNumberFormat="1" applyFont="1" applyFill="1" applyBorder="1"/>
    <x:xf numFmtId="202" fontId="1" fillId="0" borderId="4" xfId="0" applyNumberFormat="1" applyFont="1" applyFill="1" applyBorder="1" applyAlignment="1">
      <x:alignment horizontal="center"/>
    </x:xf>
    <x:xf numFmtId="202" fontId="1" fillId="0" borderId="5" xfId="0" applyNumberFormat="1" applyFont="1" applyFill="1" applyBorder="1" applyAlignment="1">
      <x:alignment horizontal="center"/>
    </x:xf>
    <x:xf numFmtId="202" fontId="1" fillId="0" borderId="6" xfId="0" applyNumberFormat="1" applyFont="1" applyFill="1" applyBorder="1" applyAlignment="1">
      <x:alignment horizontal="center"/>
    </x:xf>
    <x:xf numFmtId="203" fontId="1" fillId="0" borderId="4" xfId="0" applyNumberFormat="1" applyFont="1" applyFill="1" applyBorder="1"/>
    <x:xf numFmtId="203" fontId="1" fillId="0" borderId="5" xfId="0" applyNumberFormat="1" applyFont="1" applyFill="1" applyBorder="1"/>
    <x:xf numFmtId="203" fontId="1" fillId="0" borderId="6" xfId="0" applyNumberFormat="1" applyFont="1" applyFill="1" applyBorder="1"/>
    <x:xf numFmtId="203" fontId="1" fillId="0" borderId="4" xfId="0" applyNumberFormat="1" applyFont="1" applyFill="1" applyBorder="1" applyAlignment="1">
      <x:alignment horizontal="center"/>
    </x:xf>
    <x:xf numFmtId="203" fontId="1" fillId="0" borderId="5" xfId="0" applyNumberFormat="1" applyFont="1" applyFill="1" applyBorder="1" applyAlignment="1">
      <x:alignment horizontal="center"/>
    </x:xf>
    <x:xf numFmtId="203" fontId="1" fillId="0" borderId="6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202" fontId="5" fillId="2" borderId="2" xfId="0" applyNumberFormat="1" applyFont="1" applyFill="1" applyBorder="1"/>
    <x:xf numFmtId="203" fontId="5" fillId="2" borderId="3" xfId="0" applyNumberFormat="1" applyFont="1" applyFill="1" applyBorder="1"/>
    <x:xf numFmtId="202" fontId="5" fillId="2" borderId="2" xfId="0" applyNumberFormat="1" applyFont="1" applyFill="1" applyBorder="1" applyAlignment="1">
      <x:alignment horizontal="center"/>
    </x:xf>
    <x:xf numFmtId="203" fontId="5" fillId="2" borderId="3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0" fillId="2" borderId="2" xfId="0" applyNumberFormat="1" applyFont="1" applyFill="1" applyBorder="1"/>
    <x:xf numFmtId="0" fontId="10" fillId="2" borderId="3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10" fillId="2" borderId="2" xfId="0" applyNumberFormat="1" applyFont="1" applyFill="1" applyBorder="1" applyAlignment="1">
      <x:alignment vertical="center"/>
    </x:xf>
    <x:xf numFmtId="0" fontId="10" fillId="2" borderId="3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1" fillId="3" borderId="15" xfId="0" applyNumberFormat="1" applyFont="1" applyFill="1" applyBorder="1"/>
    <x:xf numFmtId="0" fontId="11" fillId="3" borderId="16" xfId="0" applyNumberFormat="1" applyFont="1" applyFill="1" applyBorder="1"/>
    <x:xf numFmtId="0" fontId="11" fillId="3" borderId="17" xfId="0" applyNumberFormat="1" applyFont="1" applyFill="1" applyBorder="1"/>
    <x:xf numFmtId="0" fontId="11" fillId="3" borderId="15" xfId="0" applyNumberFormat="1" applyFont="1" applyFill="1" applyBorder="1" applyAlignment="1">
      <x:alignment wrapText="1"/>
    </x:xf>
    <x:xf numFmtId="0" fontId="11" fillId="3" borderId="16" xfId="0" applyNumberFormat="1" applyFont="1" applyFill="1" applyBorder="1" applyAlignment="1">
      <x:alignment wrapText="1"/>
    </x:xf>
    <x:xf numFmtId="0" fontId="11" fillId="3" borderId="17" xfId="0" applyNumberFormat="1" applyFont="1" applyFill="1" applyBorder="1" applyAlignment="1">
      <x:alignment wrapText="1"/>
    </x:xf>
    <x:xf numFmtId="0" fontId="11" fillId="3" borderId="15" xfId="0" applyNumberFormat="1" applyFont="1" applyFill="1" applyBorder="1" applyAlignment="1">
      <x:alignment horizontal="center" wrapText="1"/>
    </x:xf>
    <x:xf numFmtId="0" fontId="11" fillId="3" borderId="16" xfId="0" applyNumberFormat="1" applyFont="1" applyFill="1" applyBorder="1" applyAlignment="1">
      <x:alignment horizontal="center" wrapText="1"/>
    </x:xf>
    <x:xf numFmtId="0" fontId="11" fillId="3" borderId="17" xfId="0" applyNumberFormat="1" applyFont="1" applyFill="1" applyBorder="1" applyAlignment="1">
      <x:alignment horizontal="center" wrapText="1"/>
    </x:xf>
    <x:xf numFmtId="0" fontId="11" fillId="3" borderId="15" xfId="0" applyNumberFormat="1" applyFont="1" applyFill="1" applyBorder="1" applyAlignment="1">
      <x:alignment horizontal="center" vertical="center" wrapText="1"/>
    </x:xf>
    <x:xf numFmtId="0" fontId="11" fillId="3" borderId="16" xfId="0" applyNumberFormat="1" applyFont="1" applyFill="1" applyBorder="1" applyAlignment="1">
      <x:alignment horizontal="center" vertical="center" wrapText="1"/>
    </x:xf>
    <x:xf numFmtId="0" fontId="11" fillId="3" borderId="17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201" fontId="1" fillId="0" borderId="4" xfId="0" applyNumberFormat="1" applyFont="1" applyFill="1" applyBorder="1"/>
    <x:xf numFmtId="201" fontId="1" fillId="0" borderId="5" xfId="0" applyNumberFormat="1" applyFont="1" applyFill="1" applyBorder="1"/>
    <x:xf numFmtId="201" fontId="1" fillId="0" borderId="6" xfId="0" applyNumberFormat="1" applyFont="1" applyFill="1" applyBorder="1"/>
    <x:xf numFmtId="0" fontId="1" fillId="7" borderId="4" xfId="0" applyNumberFormat="1" applyFont="1" applyFill="1" applyBorder="1" applyAlignment="1">
      <x:alignment horizontal="center"/>
    </x:xf>
    <x:xf numFmtId="0" fontId="1" fillId="7" borderId="5" xfId="0" applyNumberFormat="1" applyFont="1" applyFill="1" applyBorder="1" applyAlignment="1">
      <x:alignment horizontal="center"/>
    </x:xf>
    <x:xf numFmtId="0" fontId="1" fillId="7" borderId="6" xfId="0" applyNumberFormat="1" applyFont="1" applyFill="1" applyBorder="1" applyAlignment="1">
      <x:alignment horizontal="center"/>
    </x:xf>
    <x:xf numFmtId="0" fontId="12" fillId="7" borderId="4" xfId="0" applyNumberFormat="1" applyFont="1" applyFill="1" applyBorder="1" applyAlignment="1">
      <x:alignment horizontal="center"/>
    </x:xf>
    <x:xf numFmtId="0" fontId="12" fillId="7" borderId="5" xfId="0" applyNumberFormat="1" applyFont="1" applyFill="1" applyBorder="1" applyAlignment="1">
      <x:alignment horizontal="center"/>
    </x:xf>
    <x:xf numFmtId="0" fontId="12" fillId="7" borderId="6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9A5B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50942754924278" /><Relationship Type="http://schemas.openxmlformats.org/officeDocument/2006/relationships/theme" Target="/xl/theme/theme1.xml" Id="Rf5f42ed9282c4ad2" /><Relationship Type="http://schemas.openxmlformats.org/officeDocument/2006/relationships/sharedStrings" Target="/xl/sharedStrings.xml" Id="Rb238f7d6aac9463b" /><Relationship Type="http://schemas.openxmlformats.org/officeDocument/2006/relationships/worksheet" Target="/xl/worksheets/sheet1.xml" Id="R76c261c9253a4b19" /><Relationship Type="http://schemas.openxmlformats.org/officeDocument/2006/relationships/worksheet" Target="/xl/worksheets/sheet2.xml" Id="Rfc4508aa7ac94533" /><Relationship Type="http://schemas.openxmlformats.org/officeDocument/2006/relationships/worksheet" Target="/xl/worksheets/sheet3.xml" Id="R9e6d6340136f49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a0bb932f94ef4686" /></Relationships>
</file>

<file path=xl/drawings/drawing1.xml><?xml version="1.0" encoding="utf-8"?>
<xdr:wsDr xmlns:xdr="http://schemas.openxmlformats.org/drawingml/2006/spreadsheetDrawing">
  <xdr:oneCellAnchor>
    <xdr:from>
      <xdr:col>5</xdr:col>
      <xdr:colOff>0</xdr:colOff>
      <xdr:row>0</xdr:row>
      <xdr:rowOff>0</xdr:rowOff>
    </xdr:from>
    <xdr:ext cx="723900" cy="723900"/>
    <xdr:pic>
      <xdr:nvPicPr>
        <xdr:cNvPr id="1" name="d09ef09b-965e-4153-b9f8-905a002b47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b932f94ef46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EmpleadosSinSexoTable" displayName="EmpleadosSinSexoTable" ref="A4:J138" headerRowCount="1" totalsRowCount="0" totalsRowShown="0">
  <x:autoFilter ref="A4:J138"/>
  <x:tableColumns count="10">
    <x:tableColumn id="1" name="Centro de operación"/>
    <x:tableColumn id="2" name="Código"/>
    <x:tableColumn id="3" name="Tipo doc."/>
    <x:tableColumn id="4" name="Número de documento"/>
    <x:tableColumn id="5" name="Nombres"/>
    <x:tableColumn id="6" name="Apellidos"/>
    <x:tableColumn id="7" name="Cargo actual"/>
    <x:tableColumn id="8" name="Fecha de ingreso"/>
    <x:tableColumn id="9" name="Estado"/>
    <x:tableColumn id="10" name="Sexo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c2c6b8297046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5d8ef6029924e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4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34" customHeight="1">
      <x:c r="A1" s="45" t="str">
        <x:v>Empleados activos sin sexo diligenciado</x:v>
      </x:c>
      <x:c r="B1" s="45"/>
      <x:c r="C1" s="45"/>
      <x:c r="D1" s="45"/>
      <x:c r="E1" s="45"/>
      <x:c r="F1" s="42"/>
      <x:c r="G1" s="42"/>
    </x:row>
    <x:row r="2">
      <x:c r="A2" s="13" t="str">
        <x:v>Petrocasinos S.A. · Agrupación por centro de operación</x:v>
      </x:c>
      <x:c r="B2" s="13"/>
      <x:c r="C2" s="13"/>
      <x:c r="D2" s="13"/>
      <x:c r="E2" s="13"/>
      <x:c r="F2" s="42"/>
      <x:c r="G2" s="42"/>
    </x:row>
    <x:row r="3">
      <x:c r="A3" s="42"/>
      <x:c r="B3" s="42"/>
      <x:c r="C3" s="42"/>
      <x:c r="D3" s="42"/>
      <x:c r="E3" s="42"/>
      <x:c r="F3" s="42"/>
      <x:c r="G3" s="42"/>
    </x:row>
    <x:row r="4">
      <x:c r="A4" s="42"/>
      <x:c r="B4" s="42"/>
      <x:c r="C4" s="42"/>
      <x:c r="D4" s="42"/>
      <x:c r="E4" s="42"/>
      <x:c r="F4" s="42"/>
      <x:c r="G4" s="42"/>
    </x:row>
    <x:row r="5">
      <x:c r="A5" s="50" t="str">
        <x:v>TOTAL PENDIENTES</x:v>
      </x:c>
      <x:c r="B5" s="50"/>
      <x:c r="C5" s="50" t="str">
        <x:v>CENTROS CON PENDIENTES</x:v>
      </x:c>
      <x:c r="D5" s="50"/>
      <x:c r="E5" s="50" t="str">
        <x:v>SIN CENTRO ASIGNADO</x:v>
      </x:c>
      <x:c r="F5" s="50"/>
      <x:c r="G5" s="50"/>
    </x:row>
    <x:row r="6">
      <x:c r="A6" s="64" t="n">
        <x:f>COUNTA('Base filtrable'!$A$5:$A$138)</x:f>
        <x:v>134</x:v>
      </x:c>
      <x:c r="B6" s="65"/>
      <x:c r="C6" s="64" t="n">
        <x:v>37</x:v>
      </x:c>
      <x:c r="D6" s="65"/>
      <x:c r="E6" s="82" t="n">
        <x:f>COUNTIF('Base filtrable'!$A$5:$A$138,"Sin centro asignado")</x:f>
        <x:v>7</x:v>
      </x:c>
      <x:c r="F6" s="83"/>
      <x:c r="G6" s="84"/>
    </x:row>
    <x:row r="7">
      <x:c r="A7" s="66"/>
      <x:c r="B7" s="67"/>
      <x:c r="C7" s="66"/>
      <x:c r="D7" s="67"/>
      <x:c r="E7" s="85"/>
      <x:c r="F7" s="86"/>
      <x:c r="G7" s="87"/>
    </x:row>
    <x:row r="8">
      <x:c r="A8" s="42"/>
      <x:c r="B8" s="42"/>
      <x:c r="C8" s="42"/>
      <x:c r="D8" s="42"/>
      <x:c r="E8" s="42"/>
      <x:c r="F8" s="42"/>
      <x:c r="G8" s="42"/>
    </x:row>
    <x:row r="9" ht="36" customHeight="1">
      <x:c r="A9" s="96" t="str">
        <x:v>Criterio: empleados activos de Petrocasinos S.A. con el campo sexo en NULL. El centro corresponde al centro principal de la ficha laboral vigente.</x:v>
      </x:c>
      <x:c r="B9" s="97"/>
      <x:c r="C9" s="97"/>
      <x:c r="D9" s="97"/>
      <x:c r="E9" s="97"/>
      <x:c r="F9" s="97"/>
      <x:c r="G9" s="98"/>
    </x:row>
    <x:row r="10">
      <x:c r="A10" s="42"/>
      <x:c r="B10" s="42"/>
      <x:c r="C10" s="42"/>
      <x:c r="D10" s="42"/>
      <x:c r="E10" s="42"/>
      <x:c r="F10" s="42"/>
      <x:c r="G10" s="42"/>
    </x:row>
    <x:row r="11" ht="26" customHeight="1">
      <x:c r="A11" s="102" t="str">
        <x:v>Centro de operación</x:v>
      </x:c>
      <x:c r="B11" s="103" t="str">
        <x:v>Pendientes</x:v>
      </x:c>
      <x:c r="C11" s="104" t="str">
        <x:v>% del total</x:v>
      </x:c>
      <x:c r="D11" s="42"/>
      <x:c r="E11" s="42"/>
      <x:c r="F11" s="42"/>
      <x:c r="G11" s="42"/>
    </x:row>
    <x:row r="12" ht="20" customHeight="1">
      <x:c r="A12" s="30" t="str">
        <x:v>Lote 1 Vr</x:v>
      </x:c>
      <x:c r="B12" s="108" t="n">
        <x:f>COUNTIF('Base filtrable'!$A$5:$A$138,"Lote 1 Vr")</x:f>
        <x:v>13</x:v>
      </x:c>
      <x:c r="C12" s="114" t="n">
        <x:f>B12/$B$49</x:f>
        <x:v>0.09701492537313433</x:v>
      </x:c>
      <x:c r="D12" s="42"/>
      <x:c r="E12" s="42"/>
      <x:c r="F12" s="42"/>
      <x:c r="G12" s="42"/>
    </x:row>
    <x:row r="13" ht="20" customHeight="1">
      <x:c r="A13" s="34" t="str">
        <x:v>El Centro</x:v>
      </x:c>
      <x:c r="B13" s="109" t="n">
        <x:f>COUNTIF('Base filtrable'!$A$5:$A$138,"El Centro")</x:f>
        <x:v>10</x:v>
      </x:c>
      <x:c r="C13" s="115" t="n">
        <x:f>B13/$B$49</x:f>
        <x:v>0.07462686567164178</x:v>
      </x:c>
      <x:c r="D13" s="42"/>
      <x:c r="E13" s="42"/>
      <x:c r="F13" s="42"/>
      <x:c r="G13" s="42"/>
    </x:row>
    <x:row r="14" ht="20" customHeight="1">
      <x:c r="A14" s="34" t="str">
        <x:v>Palmas</x:v>
      </x:c>
      <x:c r="B14" s="109" t="n">
        <x:f>COUNTIF('Base filtrable'!$A$5:$A$138,"Palmas")</x:f>
        <x:v>9</x:v>
      </x:c>
      <x:c r="C14" s="115" t="n">
        <x:f>B14/$B$49</x:f>
        <x:v>0.06716417910447761</x:v>
      </x:c>
      <x:c r="D14" s="42"/>
      <x:c r="E14" s="42"/>
      <x:c r="F14" s="42"/>
      <x:c r="G14" s="42"/>
    </x:row>
    <x:row r="15" ht="20" customHeight="1">
      <x:c r="A15" s="34" t="str">
        <x:v>Lote 4 Pk</x:v>
      </x:c>
      <x:c r="B15" s="109" t="n">
        <x:f>COUNTIF('Base filtrable'!$A$5:$A$138,"Lote 4 Pk")</x:f>
        <x:v>7</x:v>
      </x:c>
      <x:c r="C15" s="115" t="n">
        <x:f>B15/$B$49</x:f>
        <x:v>0.05223880597014925</x:v>
      </x:c>
      <x:c r="D15" s="42"/>
      <x:c r="E15" s="42"/>
      <x:c r="F15" s="42"/>
      <x:c r="G15" s="42"/>
    </x:row>
    <x:row r="16" ht="20" customHeight="1">
      <x:c r="A16" s="34" t="str">
        <x:v>Sin centro asignado</x:v>
      </x:c>
      <x:c r="B16" s="109" t="n">
        <x:f>COUNTIF('Base filtrable'!$A$5:$A$138,"Sin centro asignado")</x:f>
        <x:v>7</x:v>
      </x:c>
      <x:c r="C16" s="115" t="n">
        <x:f>B16/$B$49</x:f>
        <x:v>0.05223880597014925</x:v>
      </x:c>
      <x:c r="D16" s="42"/>
      <x:c r="E16" s="42"/>
      <x:c r="F16" s="42"/>
      <x:c r="G16" s="42"/>
    </x:row>
    <x:row r="17" ht="20" customHeight="1">
      <x:c r="A17" s="34" t="str">
        <x:v>Tibu</x:v>
      </x:c>
      <x:c r="B17" s="109" t="n">
        <x:f>COUNTIF('Base filtrable'!$A$5:$A$138,"Tibu")</x:f>
        <x:v>7</x:v>
      </x:c>
      <x:c r="C17" s="115" t="n">
        <x:f>B17/$B$49</x:f>
        <x:v>0.05223880597014925</x:v>
      </x:c>
      <x:c r="D17" s="42"/>
      <x:c r="E17" s="42"/>
      <x:c r="F17" s="42"/>
      <x:c r="G17" s="42"/>
    </x:row>
    <x:row r="18" ht="20" customHeight="1">
      <x:c r="A18" s="34" t="str">
        <x:v>Fundacion Cardiovascular</x:v>
      </x:c>
      <x:c r="B18" s="109" t="n">
        <x:f>COUNTIF('Base filtrable'!$A$5:$A$138,"Fundacion Cardiovascular")</x:f>
        <x:v>6</x:v>
      </x:c>
      <x:c r="C18" s="115" t="n">
        <x:f>B18/$B$49</x:f>
        <x:v>0.04477611940298507</x:v>
      </x:c>
      <x:c r="D18" s="42"/>
      <x:c r="E18" s="42"/>
      <x:c r="F18" s="42"/>
      <x:c r="G18" s="42"/>
    </x:row>
    <x:row r="19" ht="20" customHeight="1">
      <x:c r="A19" s="34" t="str">
        <x:v>Santa Rosa</x:v>
      </x:c>
      <x:c r="B19" s="109" t="n">
        <x:f>COUNTIF('Base filtrable'!$A$5:$A$138,"Santa Rosa")</x:f>
        <x:v>6</x:v>
      </x:c>
      <x:c r="C19" s="115" t="n">
        <x:f>B19/$B$49</x:f>
        <x:v>0.04477611940298507</x:v>
      </x:c>
      <x:c r="D19" s="42"/>
      <x:c r="E19" s="42"/>
      <x:c r="F19" s="42"/>
      <x:c r="G19" s="42"/>
    </x:row>
    <x:row r="20" ht="20" customHeight="1">
      <x:c r="A20" s="34" t="str">
        <x:v>Caricare</x:v>
      </x:c>
      <x:c r="B20" s="109" t="n">
        <x:f>COUNTIF('Base filtrable'!$A$5:$A$138,"Caricare")</x:f>
        <x:v>5</x:v>
      </x:c>
      <x:c r="C20" s="115" t="n">
        <x:f>B20/$B$49</x:f>
        <x:v>0.03731343283582089</x:v>
      </x:c>
      <x:c r="D20" s="42"/>
      <x:c r="E20" s="42"/>
      <x:c r="F20" s="42"/>
      <x:c r="G20" s="42"/>
    </x:row>
    <x:row r="21" ht="20" customHeight="1">
      <x:c r="A21" s="34" t="str">
        <x:v>Colegio Caldas</x:v>
      </x:c>
      <x:c r="B21" s="109" t="n">
        <x:f>COUNTIF('Base filtrable'!$A$5:$A$138,"Colegio Caldas")</x:f>
        <x:v>5</x:v>
      </x:c>
      <x:c r="C21" s="115" t="n">
        <x:f>B21/$B$49</x:f>
        <x:v>0.03731343283582089</x:v>
      </x:c>
      <x:c r="D21" s="42"/>
      <x:c r="E21" s="42"/>
      <x:c r="F21" s="42"/>
      <x:c r="G21" s="42"/>
    </x:row>
    <x:row r="22" ht="20" customHeight="1">
      <x:c r="A22" s="34" t="str">
        <x:v>Lote 2 Vr</x:v>
      </x:c>
      <x:c r="B22" s="109" t="n">
        <x:f>COUNTIF('Base filtrable'!$A$5:$A$138,"Lote 2 Vr")</x:f>
        <x:v>5</x:v>
      </x:c>
      <x:c r="C22" s="115" t="n">
        <x:f>B22/$B$49</x:f>
        <x:v>0.03731343283582089</x:v>
      </x:c>
      <x:c r="D22" s="42"/>
      <x:c r="E22" s="42"/>
      <x:c r="F22" s="42"/>
      <x:c r="G22" s="42"/>
    </x:row>
    <x:row r="23" ht="20" customHeight="1">
      <x:c r="A23" s="34" t="str">
        <x:v>Planta De Concentrado</x:v>
      </x:c>
      <x:c r="B23" s="109" t="n">
        <x:f>COUNTIF('Base filtrable'!$A$5:$A$138,"Planta De Concentrado")</x:f>
        <x:v>5</x:v>
      </x:c>
      <x:c r="C23" s="115" t="n">
        <x:f>B23/$B$49</x:f>
        <x:v>0.03731343283582089</x:v>
      </x:c>
      <x:c r="D23" s="42"/>
      <x:c r="E23" s="42"/>
      <x:c r="F23" s="42"/>
      <x:c r="G23" s="42"/>
    </x:row>
    <x:row r="24" ht="20" customHeight="1">
      <x:c r="A24" s="34" t="str">
        <x:v>Sala De Desposte</x:v>
      </x:c>
      <x:c r="B24" s="109" t="n">
        <x:f>COUNTIF('Base filtrable'!$A$5:$A$138,"Sala De Desposte")</x:f>
        <x:v>5</x:v>
      </x:c>
      <x:c r="C24" s="115" t="n">
        <x:f>B24/$B$49</x:f>
        <x:v>0.03731343283582089</x:v>
      </x:c>
      <x:c r="D24" s="42"/>
      <x:c r="E24" s="42"/>
      <x:c r="F24" s="42"/>
      <x:c r="G24" s="42"/>
    </x:row>
    <x:row r="25" ht="20" customHeight="1">
      <x:c r="A25" s="34" t="str">
        <x:v>Velasquez</x:v>
      </x:c>
      <x:c r="B25" s="109" t="n">
        <x:f>COUNTIF('Base filtrable'!$A$5:$A$138,"Velasquez")</x:f>
        <x:v>5</x:v>
      </x:c>
      <x:c r="C25" s="115" t="n">
        <x:f>B25/$B$49</x:f>
        <x:v>0.03731343283582089</x:v>
      </x:c>
      <x:c r="D25" s="42"/>
      <x:c r="E25" s="42"/>
      <x:c r="F25" s="42"/>
      <x:c r="G25" s="42"/>
    </x:row>
    <x:row r="26" ht="20" customHeight="1">
      <x:c r="A26" s="34" t="str">
        <x:v>Cpa Bucaramanga Km4</x:v>
      </x:c>
      <x:c r="B26" s="109" t="n">
        <x:f>COUNTIF('Base filtrable'!$A$5:$A$138,"Cpa Bucaramanga Km4")</x:f>
        <x:v>3</x:v>
      </x:c>
      <x:c r="C26" s="115" t="n">
        <x:f>B26/$B$49</x:f>
        <x:v>0.022388059701492536</x:v>
      </x:c>
      <x:c r="D26" s="42"/>
      <x:c r="E26" s="42"/>
      <x:c r="F26" s="42"/>
      <x:c r="G26" s="42"/>
    </x:row>
    <x:row r="27" ht="20" customHeight="1">
      <x:c r="A27" s="34" t="str">
        <x:v>Hocol-Ocelote</x:v>
      </x:c>
      <x:c r="B27" s="109" t="n">
        <x:f>COUNTIF('Base filtrable'!$A$5:$A$138,"Hocol-Ocelote")</x:f>
        <x:v>3</x:v>
      </x:c>
      <x:c r="C27" s="115" t="n">
        <x:f>B27/$B$49</x:f>
        <x:v>0.022388059701492536</x:v>
      </x:c>
      <x:c r="D27" s="42"/>
      <x:c r="E27" s="42"/>
      <x:c r="F27" s="42"/>
      <x:c r="G27" s="42"/>
    </x:row>
    <x:row r="28" ht="20" customHeight="1">
      <x:c r="A28" s="34" t="str">
        <x:v>Mac Pollo</x:v>
      </x:c>
      <x:c r="B28" s="109" t="n">
        <x:f>COUNTIF('Base filtrable'!$A$5:$A$138,"Mac Pollo")</x:f>
        <x:v>3</x:v>
      </x:c>
      <x:c r="C28" s="115" t="n">
        <x:f>B28/$B$49</x:f>
        <x:v>0.022388059701492536</x:v>
      </x:c>
      <x:c r="D28" s="42"/>
      <x:c r="E28" s="42"/>
      <x:c r="F28" s="42"/>
      <x:c r="G28" s="42"/>
    </x:row>
    <x:row r="29" ht="20" customHeight="1">
      <x:c r="A29" s="34" t="str">
        <x:v>Oxy La Cira</x:v>
      </x:c>
      <x:c r="B29" s="109" t="n">
        <x:f>COUNTIF('Base filtrable'!$A$5:$A$138,"Oxy La Cira")</x:f>
        <x:v>3</x:v>
      </x:c>
      <x:c r="C29" s="115" t="n">
        <x:f>B29/$B$49</x:f>
        <x:v>0.022388059701492536</x:v>
      </x:c>
      <x:c r="D29" s="42"/>
      <x:c r="E29" s="42"/>
      <x:c r="F29" s="42"/>
      <x:c r="G29" s="42"/>
    </x:row>
    <x:row r="30" ht="20" customHeight="1">
      <x:c r="A30" s="34" t="str">
        <x:v>Principal</x:v>
      </x:c>
      <x:c r="B30" s="109" t="n">
        <x:f>COUNTIF('Base filtrable'!$A$5:$A$138,"Principal")</x:f>
        <x:v>3</x:v>
      </x:c>
      <x:c r="C30" s="115" t="n">
        <x:f>B30/$B$49</x:f>
        <x:v>0.022388059701492536</x:v>
      </x:c>
      <x:c r="D30" s="42"/>
      <x:c r="E30" s="42"/>
      <x:c r="F30" s="42"/>
      <x:c r="G30" s="42"/>
    </x:row>
    <x:row r="31" ht="20" customHeight="1">
      <x:c r="A31" s="34" t="str">
        <x:v>Casabe</x:v>
      </x:c>
      <x:c r="B31" s="109" t="n">
        <x:f>COUNTIF('Base filtrable'!$A$5:$A$138,"Casabe")</x:f>
        <x:v>2</x:v>
      </x:c>
      <x:c r="C31" s="115" t="n">
        <x:f>B31/$B$49</x:f>
        <x:v>0.014925373134328358</x:v>
      </x:c>
      <x:c r="D31" s="42"/>
      <x:c r="E31" s="42"/>
      <x:c r="F31" s="42"/>
      <x:c r="G31" s="42"/>
    </x:row>
    <x:row r="32" ht="20" customHeight="1">
      <x:c r="A32" s="34" t="str">
        <x:v>Cpa Calle 38</x:v>
      </x:c>
      <x:c r="B32" s="109" t="n">
        <x:f>COUNTIF('Base filtrable'!$A$5:$A$138,"Cpa Calle 38")</x:f>
        <x:v>2</x:v>
      </x:c>
      <x:c r="C32" s="115" t="n">
        <x:f>B32/$B$49</x:f>
        <x:v>0.014925373134328358</x:v>
      </x:c>
      <x:c r="D32" s="42"/>
      <x:c r="E32" s="42"/>
      <x:c r="F32" s="42"/>
      <x:c r="G32" s="42"/>
    </x:row>
    <x:row r="33" ht="20" customHeight="1">
      <x:c r="A33" s="34" t="str">
        <x:v>Hidroituango</x:v>
      </x:c>
      <x:c r="B33" s="109" t="n">
        <x:f>COUNTIF('Base filtrable'!$A$5:$A$138,"Hidroituango")</x:f>
        <x:v>2</x:v>
      </x:c>
      <x:c r="C33" s="115" t="n">
        <x:f>B33/$B$49</x:f>
        <x:v>0.014925373134328358</x:v>
      </x:c>
      <x:c r="D33" s="42"/>
      <x:c r="E33" s="42"/>
      <x:c r="F33" s="42"/>
      <x:c r="G33" s="42"/>
    </x:row>
    <x:row r="34" ht="20" customHeight="1">
      <x:c r="A34" s="34" t="str">
        <x:v>Lote 5 Pk</x:v>
      </x:c>
      <x:c r="B34" s="109" t="n">
        <x:f>COUNTIF('Base filtrable'!$A$5:$A$138,"Lote 5 Pk")</x:f>
        <x:v>2</x:v>
      </x:c>
      <x:c r="C34" s="115" t="n">
        <x:f>B34/$B$49</x:f>
        <x:v>0.014925373134328358</x:v>
      </x:c>
      <x:c r="D34" s="42"/>
      <x:c r="E34" s="42"/>
      <x:c r="F34" s="42"/>
      <x:c r="G34" s="42"/>
    </x:row>
    <x:row r="35" ht="20" customHeight="1">
      <x:c r="A35" s="34" t="str">
        <x:v>Nexans</x:v>
      </x:c>
      <x:c r="B35" s="109" t="n">
        <x:f>COUNTIF('Base filtrable'!$A$5:$A$138,"Nexans")</x:f>
        <x:v>2</x:v>
      </x:c>
      <x:c r="C35" s="115" t="n">
        <x:f>B35/$B$49</x:f>
        <x:v>0.014925373134328358</x:v>
      </x:c>
      <x:c r="D35" s="42"/>
      <x:c r="E35" s="42"/>
      <x:c r="F35" s="42"/>
      <x:c r="G35" s="42"/>
    </x:row>
    <x:row r="36" ht="20" customHeight="1">
      <x:c r="A36" s="34" t="str">
        <x:v>Piscicultura</x:v>
      </x:c>
      <x:c r="B36" s="109" t="n">
        <x:f>COUNTIF('Base filtrable'!$A$5:$A$138,"Piscicultura")</x:f>
        <x:v>2</x:v>
      </x:c>
      <x:c r="C36" s="115" t="n">
        <x:f>B36/$B$49</x:f>
        <x:v>0.014925373134328358</x:v>
      </x:c>
      <x:c r="D36" s="42"/>
      <x:c r="E36" s="42"/>
      <x:c r="F36" s="42"/>
      <x:c r="G36" s="42"/>
    </x:row>
    <x:row r="37" ht="20" customHeight="1">
      <x:c r="A37" s="34" t="str">
        <x:v>Cantagallo</x:v>
      </x:c>
      <x:c r="B37" s="109" t="n">
        <x:f>COUNTIF('Base filtrable'!$A$5:$A$138,"Cantagallo")</x:f>
        <x:v>1</x:v>
      </x:c>
      <x:c r="C37" s="115" t="n">
        <x:f>B37/$B$49</x:f>
        <x:v>0.007462686567164179</x:v>
      </x:c>
      <x:c r="D37" s="42"/>
      <x:c r="E37" s="42"/>
      <x:c r="F37" s="42"/>
      <x:c r="G37" s="42"/>
    </x:row>
    <x:row r="38" ht="20" customHeight="1">
      <x:c r="A38" s="34" t="str">
        <x:v>Cenit Aseo Banadia</x:v>
      </x:c>
      <x:c r="B38" s="109" t="n">
        <x:f>COUNTIF('Base filtrable'!$A$5:$A$138,"Cenit Aseo Banadia")</x:f>
        <x:v>1</x:v>
      </x:c>
      <x:c r="C38" s="115" t="n">
        <x:f>B38/$B$49</x:f>
        <x:v>0.007462686567164179</x:v>
      </x:c>
      <x:c r="D38" s="42"/>
      <x:c r="E38" s="42"/>
      <x:c r="F38" s="42"/>
      <x:c r="G38" s="42"/>
    </x:row>
    <x:row r="39" ht="20" customHeight="1">
      <x:c r="A39" s="34" t="str">
        <x:v>Clinica Bucaramanga</x:v>
      </x:c>
      <x:c r="B39" s="109" t="n">
        <x:f>COUNTIF('Base filtrable'!$A$5:$A$138,"Clinica Bucaramanga")</x:f>
        <x:v>1</x:v>
      </x:c>
      <x:c r="C39" s="115" t="n">
        <x:f>B39/$B$49</x:f>
        <x:v>0.007462686567164179</x:v>
      </x:c>
      <x:c r="D39" s="42"/>
      <x:c r="E39" s="42"/>
      <x:c r="F39" s="42"/>
      <x:c r="G39" s="42"/>
    </x:row>
    <x:row r="40" ht="20" customHeight="1">
      <x:c r="A40" s="34" t="str">
        <x:v>Ganaderia Las Margaritas</x:v>
      </x:c>
      <x:c r="B40" s="109" t="n">
        <x:f>COUNTIF('Base filtrable'!$A$5:$A$138,"Ganaderia Las Margaritas")</x:f>
        <x:v>1</x:v>
      </x:c>
      <x:c r="C40" s="115" t="n">
        <x:f>B40/$B$49</x:f>
        <x:v>0.007462686567164179</x:v>
      </x:c>
      <x:c r="D40" s="42"/>
      <x:c r="E40" s="42"/>
      <x:c r="F40" s="42"/>
      <x:c r="G40" s="42"/>
    </x:row>
    <x:row r="41" ht="20" customHeight="1">
      <x:c r="A41" s="34" t="str">
        <x:v>Lote 1 (Lote 2 Vr)</x:v>
      </x:c>
      <x:c r="B41" s="109" t="n">
        <x:f>COUNTIF('Base filtrable'!$A$5:$A$138,"Lote 1 (Lote 2 Vr)")</x:f>
        <x:v>1</x:v>
      </x:c>
      <x:c r="C41" s="115" t="n">
        <x:f>B41/$B$49</x:f>
        <x:v>0.007462686567164179</x:v>
      </x:c>
      <x:c r="D41" s="42"/>
      <x:c r="E41" s="42"/>
      <x:c r="F41" s="42"/>
      <x:c r="G41" s="42"/>
    </x:row>
    <x:row r="42" ht="20" customHeight="1">
      <x:c r="A42" s="34" t="str">
        <x:v>Lote 3 Vr</x:v>
      </x:c>
      <x:c r="B42" s="109" t="n">
        <x:f>COUNTIF('Base filtrable'!$A$5:$A$138,"Lote 3 Vr")</x:f>
        <x:v>1</x:v>
      </x:c>
      <x:c r="C42" s="115" t="n">
        <x:f>B42/$B$49</x:f>
        <x:v>0.007462686567164179</x:v>
      </x:c>
      <x:c r="D42" s="42"/>
      <x:c r="E42" s="42"/>
      <x:c r="F42" s="42"/>
      <x:c r="G42" s="42"/>
    </x:row>
    <x:row r="43" ht="20" customHeight="1">
      <x:c r="A43" s="34" t="str">
        <x:v>Lote 4 (Lote 1 Vr)</x:v>
      </x:c>
      <x:c r="B43" s="109" t="n">
        <x:f>COUNTIF('Base filtrable'!$A$5:$A$138,"Lote 4 (Lote 1 Vr)")</x:f>
        <x:v>1</x:v>
      </x:c>
      <x:c r="C43" s="115" t="n">
        <x:f>B43/$B$49</x:f>
        <x:v>0.007462686567164179</x:v>
      </x:c>
      <x:c r="D43" s="42"/>
      <x:c r="E43" s="42"/>
      <x:c r="F43" s="42"/>
      <x:c r="G43" s="42"/>
    </x:row>
    <x:row r="44" ht="20" customHeight="1">
      <x:c r="A44" s="34" t="str">
        <x:v>Lote 5 (Lote 4 Pk)</x:v>
      </x:c>
      <x:c r="B44" s="109" t="n">
        <x:f>COUNTIF('Base filtrable'!$A$5:$A$138,"Lote 5 (Lote 4 Pk)")</x:f>
        <x:v>1</x:v>
      </x:c>
      <x:c r="C44" s="115" t="n">
        <x:f>B44/$B$49</x:f>
        <x:v>0.007462686567164179</x:v>
      </x:c>
      <x:c r="D44" s="42"/>
      <x:c r="E44" s="42"/>
      <x:c r="F44" s="42"/>
      <x:c r="G44" s="42"/>
    </x:row>
    <x:row r="45" ht="20" customHeight="1">
      <x:c r="A45" s="34" t="str">
        <x:v>Lote Levante</x:v>
      </x:c>
      <x:c r="B45" s="109" t="n">
        <x:f>COUNTIF('Base filtrable'!$A$5:$A$138,"Lote Levante")</x:f>
        <x:v>1</x:v>
      </x:c>
      <x:c r="C45" s="115" t="n">
        <x:f>B45/$B$49</x:f>
        <x:v>0.007462686567164179</x:v>
      </x:c>
      <x:c r="D45" s="42"/>
      <x:c r="E45" s="42"/>
      <x:c r="F45" s="42"/>
      <x:c r="G45" s="42"/>
    </x:row>
    <x:row r="46" ht="20" customHeight="1">
      <x:c r="A46" s="34" t="str">
        <x:v>Planta Prelistos</x:v>
      </x:c>
      <x:c r="B46" s="109" t="n">
        <x:f>COUNTIF('Base filtrable'!$A$5:$A$138,"Planta Prelistos")</x:f>
        <x:v>1</x:v>
      </x:c>
      <x:c r="C46" s="115" t="n">
        <x:f>B46/$B$49</x:f>
        <x:v>0.007462686567164179</x:v>
      </x:c>
      <x:c r="D46" s="42"/>
      <x:c r="E46" s="42"/>
      <x:c r="F46" s="42"/>
      <x:c r="G46" s="42"/>
    </x:row>
    <x:row r="47" ht="20" customHeight="1">
      <x:c r="A47" s="34" t="str">
        <x:v>Puerto Bahia</x:v>
      </x:c>
      <x:c r="B47" s="109" t="n">
        <x:f>COUNTIF('Base filtrable'!$A$5:$A$138,"Puerto Bahia")</x:f>
        <x:v>1</x:v>
      </x:c>
      <x:c r="C47" s="115" t="n">
        <x:f>B47/$B$49</x:f>
        <x:v>0.007462686567164179</x:v>
      </x:c>
      <x:c r="D47" s="42"/>
      <x:c r="E47" s="42"/>
      <x:c r="F47" s="42"/>
      <x:c r="G47" s="42"/>
    </x:row>
    <x:row r="48" ht="20" customHeight="1">
      <x:c r="A48" s="38" t="str">
        <x:v>Samore</x:v>
      </x:c>
      <x:c r="B48" s="110" t="n">
        <x:f>COUNTIF('Base filtrable'!$A$5:$A$138,"Samore")</x:f>
        <x:v>1</x:v>
      </x:c>
      <x:c r="C48" s="116" t="n">
        <x:f>B48/$B$49</x:f>
        <x:v>0.007462686567164179</x:v>
      </x:c>
      <x:c r="D48" s="42"/>
      <x:c r="E48" s="42"/>
      <x:c r="F48" s="42"/>
      <x:c r="G48" s="42"/>
    </x:row>
    <x:row r="49">
      <x:c r="A49" s="118" t="str">
        <x:v>TOTAL</x:v>
      </x:c>
      <x:c r="B49" s="123" t="n">
        <x:f>SUM(B12:B48)</x:f>
        <x:v>134</x:v>
      </x:c>
      <x:c r="C49" s="124" t="n">
        <x:f>SUM(C12:C48)</x:f>
        <x:v>1.0000000000000002</x:v>
      </x:c>
      <x:c r="D49" s="42"/>
      <x:c r="E49" s="42"/>
      <x:c r="F49" s="42"/>
      <x:c r="G49" s="42"/>
    </x:row>
  </x:sheetData>
  <x:mergeCells>
    <x:mergeCell ref="A1:E1"/>
    <x:mergeCell ref="A2:E2"/>
    <x:mergeCell ref="A5:B5"/>
    <x:mergeCell ref="A6:B7"/>
    <x:mergeCell ref="C5:D5"/>
    <x:mergeCell ref="C6:D7"/>
    <x:mergeCell ref="E5:G5"/>
    <x:mergeCell ref="E6:G7"/>
    <x:mergeCell ref="A9:G9"/>
  </x:mergeCells>
  <x:conditionalFormatting sqref="B12:B48">
    <x:cfRule type="dataBar" priority="1">
      <x:dataBar>
        <x:cfvo type="min"/>
        <x:cfvo type="max"/>
        <x:color rgb="FF20B987"/>
      </x:dataBar>
      <x:extLst>
        <x:ext xmlns:x14="http://schemas.microsoft.com/office/spreadsheetml/2009/9/main" uri="{B025F937-C7B1-47D3-B67F-A62EFF666E3E}">
          <x14:id>{DA12C461-A72D-FADC-ED1B-42B2A151D9C7}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2bc2c6b8297046a5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A12C461-A72D-FADC-ED1B-42B2A151D9C7}">
            <x14:dataBar gradient="1">
              <x14:cfvo type="min"/>
              <x14:cfvo type="max"/>
              <x14:fillColor rgb="FF20B987"/>
            </x14:dataBar>
          </x14:cfRule>
          <xm:sqref>B12:B48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5" hidden="0" customWidth="1"/>
    <x:col min="4" max="4" width="25" hidden="0" customWidth="1"/>
    <x:col min="5" max="5" width="35" hidden="0" customWidth="1"/>
    <x:col min="6" max="6" width="16" hidden="0" customWidth="1"/>
    <x:col min="7" max="7" width="12" hidden="0" customWidth="1"/>
    <x:col min="8" max="8" width="19" hidden="0" customWidth="1"/>
  </x:cols>
  <x:sheetData>
    <x:row r="1" ht="32" customHeight="1">
      <x:c r="A1" s="11" t="str">
        <x:v>Listado agrupado por centro de operación</x:v>
      </x:c>
      <x:c r="B1" s="11"/>
      <x:c r="C1" s="11"/>
      <x:c r="D1" s="11"/>
      <x:c r="E1" s="11"/>
      <x:c r="F1" s="11"/>
      <x:c r="G1" s="11"/>
      <x:c r="H1" s="11"/>
    </x:row>
    <x:row r="2">
      <x:c r="A2" s="13" t="str">
        <x:v>Petrocasinos S.A. · 134 empleados activos sin sexo diligenciado</x:v>
      </x:c>
      <x:c r="B2" s="13"/>
      <x:c r="C2" s="13"/>
      <x:c r="D2" s="13"/>
      <x:c r="E2" s="13"/>
      <x:c r="F2" s="13"/>
      <x:c r="G2" s="13"/>
      <x:c r="H2" s="13"/>
    </x:row>
    <x:row r="3">
      <x:c r="A3" s="42"/>
      <x:c r="B3" s="42"/>
      <x:c r="C3" s="42"/>
      <x:c r="D3" s="42"/>
      <x:c r="E3" s="42"/>
      <x:c r="F3" s="42"/>
      <x:c r="G3" s="42"/>
      <x:c r="H3" s="42"/>
    </x:row>
    <x:row r="4" ht="30" customHeight="1">
      <x:c r="A4" s="93" t="str">
        <x:v>Los centros se presentan en orden alfabético. Para aplicar filtros o búsquedas, use la hoja “Base filtrable”.</x:v>
      </x:c>
      <x:c r="B4" s="94"/>
      <x:c r="C4" s="94"/>
      <x:c r="D4" s="94"/>
      <x:c r="E4" s="94"/>
      <x:c r="F4" s="94"/>
      <x:c r="G4" s="94"/>
      <x:c r="H4" s="95"/>
    </x:row>
    <x:row r="5">
      <x:c r="A5" s="42"/>
      <x:c r="B5" s="42"/>
      <x:c r="C5" s="42"/>
      <x:c r="D5" s="42"/>
      <x:c r="E5" s="42"/>
      <x:c r="F5" s="42"/>
      <x:c r="G5" s="42"/>
      <x:c r="H5" s="42"/>
    </x:row>
    <x:row r="6" ht="24" customHeight="1">
      <x:c r="A6" s="129" t="str">
        <x:f>"CANTAGALLO · "&amp;COUNTIF('Base filtrable'!$A$5:$A$138,"Cantagallo")&amp;" empleado(s) pendiente(s)"</x:f>
        <x:v>CANTAGALLO · 1 empleado(s) pendiente(s)</x:v>
      </x:c>
      <x:c r="B6" s="130"/>
      <x:c r="C6" s="130"/>
      <x:c r="D6" s="130"/>
      <x:c r="E6" s="130"/>
      <x:c r="F6" s="130"/>
      <x:c r="G6" s="130"/>
      <x:c r="H6" s="131"/>
    </x:row>
    <x:row r="7" ht="27" customHeight="1">
      <x:c r="A7" s="142" t="str">
        <x:v>Tipo doc.</x:v>
      </x:c>
      <x:c r="B7" s="143" t="str">
        <x:v>Número de documento</x:v>
      </x:c>
      <x:c r="C7" s="143" t="str">
        <x:v>Nombres</x:v>
      </x:c>
      <x:c r="D7" s="143" t="str">
        <x:v>Apellidos</x:v>
      </x:c>
      <x:c r="E7" s="143" t="str">
        <x:v>Cargo actual</x:v>
      </x:c>
      <x:c r="F7" s="143" t="str">
        <x:v>Fecha de ingreso</x:v>
      </x:c>
      <x:c r="G7" s="143" t="str">
        <x:v>Estado</x:v>
      </x:c>
      <x:c r="H7" s="144" t="str">
        <x:v>Sexo</x:v>
      </x:c>
    </x:row>
    <x:row r="8" ht="20" customHeight="1">
      <x:c r="A8" s="6" t="str">
        <x:v>CC</x:v>
      </x:c>
      <x:c r="B8" s="7" t="str">
        <x:v>1012396366</x:v>
      </x:c>
      <x:c r="C8" s="3" t="str">
        <x:v>Jhon Brayan</x:v>
      </x:c>
      <x:c r="D8" s="3" t="str">
        <x:v>Silva Gomez</x:v>
      </x:c>
      <x:c r="E8" s="3" t="str">
        <x:v>Supervisor</x:v>
      </x:c>
      <x:c r="F8" s="8" t="n">
        <x:v>44999</x:v>
      </x:c>
      <x:c r="G8" s="6" t="str">
        <x:v>Activo</x:v>
      </x:c>
      <x:c r="H8" s="146" t="str">
        <x:v>Sin diligenciar</x:v>
      </x:c>
    </x:row>
    <x:row r="9">
      <x:c r="A9" s="42"/>
      <x:c r="B9" s="42"/>
      <x:c r="C9" s="42"/>
      <x:c r="D9" s="42"/>
      <x:c r="E9" s="42"/>
      <x:c r="F9" s="42"/>
      <x:c r="G9" s="42"/>
      <x:c r="H9" s="42"/>
    </x:row>
    <x:row r="10" ht="24" customHeight="1">
      <x:c r="A10" s="129" t="str">
        <x:f>"CARICARE · "&amp;COUNTIF('Base filtrable'!$A$5:$A$138,"Caricare")&amp;" empleado(s) pendiente(s)"</x:f>
        <x:v>CARICARE · 5 empleado(s) pendiente(s)</x:v>
      </x:c>
      <x:c r="B10" s="130"/>
      <x:c r="C10" s="130"/>
      <x:c r="D10" s="130"/>
      <x:c r="E10" s="130"/>
      <x:c r="F10" s="130"/>
      <x:c r="G10" s="130"/>
      <x:c r="H10" s="131"/>
    </x:row>
    <x:row r="11" ht="27" customHeight="1">
      <x:c r="A11" s="142" t="str">
        <x:v>Tipo doc.</x:v>
      </x:c>
      <x:c r="B11" s="143" t="str">
        <x:v>Número de documento</x:v>
      </x:c>
      <x:c r="C11" s="143" t="str">
        <x:v>Nombres</x:v>
      </x:c>
      <x:c r="D11" s="143" t="str">
        <x:v>Apellidos</x:v>
      </x:c>
      <x:c r="E11" s="143" t="str">
        <x:v>Cargo actual</x:v>
      </x:c>
      <x:c r="F11" s="143" t="str">
        <x:v>Fecha de ingreso</x:v>
      </x:c>
      <x:c r="G11" s="143" t="str">
        <x:v>Estado</x:v>
      </x:c>
      <x:c r="H11" s="144" t="str">
        <x:v>Sexo</x:v>
      </x:c>
    </x:row>
    <x:row r="12" ht="20" customHeight="1">
      <x:c r="A12" s="31" t="str">
        <x:v>CC</x:v>
      </x:c>
      <x:c r="B12" s="32" t="str">
        <x:v>1005275355</x:v>
      </x:c>
      <x:c r="C12" s="30" t="str">
        <x:v>Arley Ruiz</x:v>
      </x:c>
      <x:c r="D12" s="30" t="str">
        <x:v>Burgos Ruiz</x:v>
      </x:c>
      <x:c r="E12" s="30" t="str">
        <x:v>Auxiliar De Cocina</x:v>
      </x:c>
      <x:c r="F12" s="33" t="n">
        <x:v>45793</x:v>
      </x:c>
      <x:c r="G12" s="31" t="str">
        <x:v>Activo</x:v>
      </x:c>
      <x:c r="H12" s="153" t="str">
        <x:v>Sin diligenciar</x:v>
      </x:c>
    </x:row>
    <x:row r="13" ht="20" customHeight="1">
      <x:c r="A13" s="35" t="str">
        <x:v>CC</x:v>
      </x:c>
      <x:c r="B13" s="36" t="str">
        <x:v>68249366</x:v>
      </x:c>
      <x:c r="C13" s="34" t="str">
        <x:v>Floricel '</x:v>
      </x:c>
      <x:c r="D13" s="34" t="str">
        <x:v>Osorio Basallo</x:v>
      </x:c>
      <x:c r="E13" s="34" t="str">
        <x:v>Auxiliar De Cocina</x:v>
      </x:c>
      <x:c r="F13" s="37" t="n">
        <x:v>45900</x:v>
      </x:c>
      <x:c r="G13" s="35" t="str">
        <x:v>Activo</x:v>
      </x:c>
      <x:c r="H13" s="154" t="str">
        <x:v>Sin diligenciar</x:v>
      </x:c>
    </x:row>
    <x:row r="14" ht="20" customHeight="1">
      <x:c r="A14" s="35" t="str">
        <x:v>CC</x:v>
      </x:c>
      <x:c r="B14" s="36" t="str">
        <x:v>1007359127</x:v>
      </x:c>
      <x:c r="C14" s="34" t="str">
        <x:v>Yeiber '</x:v>
      </x:c>
      <x:c r="D14" s="34" t="str">
        <x:v>Sandoval Barrera</x:v>
      </x:c>
      <x:c r="E14" s="34" t="str">
        <x:v>Cuadrillo</x:v>
      </x:c>
      <x:c r="F14" s="37" t="n">
        <x:v>45931</x:v>
      </x:c>
      <x:c r="G14" s="35" t="str">
        <x:v>Activo</x:v>
      </x:c>
      <x:c r="H14" s="154" t="str">
        <x:v>Sin diligenciar</x:v>
      </x:c>
    </x:row>
    <x:row r="15" ht="20" customHeight="1">
      <x:c r="A15" s="35" t="str">
        <x:v>CC</x:v>
      </x:c>
      <x:c r="B15" s="36" t="str">
        <x:v>1007167784</x:v>
      </x:c>
      <x:c r="C15" s="34" t="str">
        <x:v>Michell Estrella</x:v>
      </x:c>
      <x:c r="D15" s="34" t="str">
        <x:v>Sequera Soto</x:v>
      </x:c>
      <x:c r="E15" s="34" t="str">
        <x:v>Auxiliar De Aseo</x:v>
      </x:c>
      <x:c r="F15" s="37" t="n">
        <x:v>45946</x:v>
      </x:c>
      <x:c r="G15" s="35" t="str">
        <x:v>Activo</x:v>
      </x:c>
      <x:c r="H15" s="154" t="str">
        <x:v>Sin diligenciar</x:v>
      </x:c>
    </x:row>
    <x:row r="16" ht="20" customHeight="1">
      <x:c r="A16" s="39" t="str">
        <x:v>CC</x:v>
      </x:c>
      <x:c r="B16" s="40" t="str">
        <x:v>1024495160</x:v>
      </x:c>
      <x:c r="C16" s="38" t="str">
        <x:v>Meylen Soley</x:v>
      </x:c>
      <x:c r="D16" s="38" t="str">
        <x:v>Vera Rodriguez</x:v>
      </x:c>
      <x:c r="E16" s="38" t="str">
        <x:v>Auxiliar De Aseo</x:v>
      </x:c>
      <x:c r="F16" s="41" t="n">
        <x:v>46133</x:v>
      </x:c>
      <x:c r="G16" s="39" t="str">
        <x:v>Activo</x:v>
      </x:c>
      <x:c r="H16" s="155" t="str">
        <x:v>Sin diligenciar</x:v>
      </x:c>
    </x:row>
    <x:row r="17">
      <x:c r="A17" s="42"/>
      <x:c r="B17" s="42"/>
      <x:c r="C17" s="42"/>
      <x:c r="D17" s="42"/>
      <x:c r="E17" s="42"/>
      <x:c r="F17" s="42"/>
      <x:c r="G17" s="42"/>
      <x:c r="H17" s="42"/>
    </x:row>
    <x:row r="18" ht="24" customHeight="1">
      <x:c r="A18" s="129" t="str">
        <x:f>"CASABE · "&amp;COUNTIF('Base filtrable'!$A$5:$A$138,"Casabe")&amp;" empleado(s) pendiente(s)"</x:f>
        <x:v>CASABE · 2 empleado(s) pendiente(s)</x:v>
      </x:c>
      <x:c r="B18" s="130"/>
      <x:c r="C18" s="130"/>
      <x:c r="D18" s="130"/>
      <x:c r="E18" s="130"/>
      <x:c r="F18" s="130"/>
      <x:c r="G18" s="130"/>
      <x:c r="H18" s="131"/>
    </x:row>
    <x:row r="19" ht="27" customHeight="1">
      <x:c r="A19" s="142" t="str">
        <x:v>Tipo doc.</x:v>
      </x:c>
      <x:c r="B19" s="143" t="str">
        <x:v>Número de documento</x:v>
      </x:c>
      <x:c r="C19" s="143" t="str">
        <x:v>Nombres</x:v>
      </x:c>
      <x:c r="D19" s="143" t="str">
        <x:v>Apellidos</x:v>
      </x:c>
      <x:c r="E19" s="143" t="str">
        <x:v>Cargo actual</x:v>
      </x:c>
      <x:c r="F19" s="143" t="str">
        <x:v>Fecha de ingreso</x:v>
      </x:c>
      <x:c r="G19" s="143" t="str">
        <x:v>Estado</x:v>
      </x:c>
      <x:c r="H19" s="144" t="str">
        <x:v>Sexo</x:v>
      </x:c>
    </x:row>
    <x:row r="20" ht="20" customHeight="1">
      <x:c r="A20" s="31" t="str">
        <x:v>CC</x:v>
      </x:c>
      <x:c r="B20" s="32" t="str">
        <x:v>37577434</x:v>
      </x:c>
      <x:c r="C20" s="30" t="str">
        <x:v>Heiny Tatiana</x:v>
      </x:c>
      <x:c r="D20" s="30" t="str">
        <x:v>Chaves Caceres</x:v>
      </x:c>
      <x:c r="E20" s="30" t="str">
        <x:v>Auxiliar De Aseo Y Cafeteria</x:v>
      </x:c>
      <x:c r="F20" s="33" t="n">
        <x:v>46073</x:v>
      </x:c>
      <x:c r="G20" s="31" t="str">
        <x:v>Activo</x:v>
      </x:c>
      <x:c r="H20" s="153" t="str">
        <x:v>Sin diligenciar</x:v>
      </x:c>
    </x:row>
    <x:row r="21" ht="20" customHeight="1">
      <x:c r="A21" s="39" t="str">
        <x:v>CC</x:v>
      </x:c>
      <x:c r="B21" s="40" t="str">
        <x:v>1042214506</x:v>
      </x:c>
      <x:c r="C21" s="38" t="str">
        <x:v>Jose Armando</x:v>
      </x:c>
      <x:c r="D21" s="38" t="str">
        <x:v>Vergara Escobar</x:v>
      </x:c>
      <x:c r="E21" s="38" t="str">
        <x:v>Conductor Lonchero</x:v>
      </x:c>
      <x:c r="F21" s="41" t="n">
        <x:v>46133</x:v>
      </x:c>
      <x:c r="G21" s="39" t="str">
        <x:v>Activo</x:v>
      </x:c>
      <x:c r="H21" s="155" t="str">
        <x:v>Sin diligenciar</x:v>
      </x:c>
    </x:row>
    <x:row r="22">
      <x:c r="A22" s="42"/>
      <x:c r="B22" s="42"/>
      <x:c r="C22" s="42"/>
      <x:c r="D22" s="42"/>
      <x:c r="E22" s="42"/>
      <x:c r="F22" s="42"/>
      <x:c r="G22" s="42"/>
      <x:c r="H22" s="42"/>
    </x:row>
    <x:row r="23" ht="24" customHeight="1">
      <x:c r="A23" s="129" t="str">
        <x:f>"CENIT ASEO BANADIA · "&amp;COUNTIF('Base filtrable'!$A$5:$A$138,"Cenit Aseo Banadia")&amp;" empleado(s) pendiente(s)"</x:f>
        <x:v>CENIT ASEO BANADIA · 1 empleado(s) pendiente(s)</x:v>
      </x:c>
      <x:c r="B23" s="130"/>
      <x:c r="C23" s="130"/>
      <x:c r="D23" s="130"/>
      <x:c r="E23" s="130"/>
      <x:c r="F23" s="130"/>
      <x:c r="G23" s="130"/>
      <x:c r="H23" s="131"/>
    </x:row>
    <x:row r="24" ht="27" customHeight="1">
      <x:c r="A24" s="142" t="str">
        <x:v>Tipo doc.</x:v>
      </x:c>
      <x:c r="B24" s="143" t="str">
        <x:v>Número de documento</x:v>
      </x:c>
      <x:c r="C24" s="143" t="str">
        <x:v>Nombres</x:v>
      </x:c>
      <x:c r="D24" s="143" t="str">
        <x:v>Apellidos</x:v>
      </x:c>
      <x:c r="E24" s="143" t="str">
        <x:v>Cargo actual</x:v>
      </x:c>
      <x:c r="F24" s="143" t="str">
        <x:v>Fecha de ingreso</x:v>
      </x:c>
      <x:c r="G24" s="143" t="str">
        <x:v>Estado</x:v>
      </x:c>
      <x:c r="H24" s="144" t="str">
        <x:v>Sexo</x:v>
      </x:c>
    </x:row>
    <x:row r="25" ht="20" customHeight="1">
      <x:c r="A25" s="6" t="str">
        <x:v>CC</x:v>
      </x:c>
      <x:c r="B25" s="7" t="str">
        <x:v>1115750500</x:v>
      </x:c>
      <x:c r="C25" s="3" t="str">
        <x:v>Sandra Tibisay</x:v>
      </x:c>
      <x:c r="D25" s="3" t="str">
        <x:v>Acosta Zuñiga</x:v>
      </x:c>
      <x:c r="E25" s="3" t="str">
        <x:v>Auxiliar De Aseo Y Cafeteria</x:v>
      </x:c>
      <x:c r="F25" s="8" t="n">
        <x:v>45901</x:v>
      </x:c>
      <x:c r="G25" s="6" t="str">
        <x:v>Activo</x:v>
      </x:c>
      <x:c r="H25" s="146" t="str">
        <x:v>Sin diligenciar</x:v>
      </x:c>
    </x:row>
    <x:row r="26">
      <x:c r="A26" s="42"/>
      <x:c r="B26" s="42"/>
      <x:c r="C26" s="42"/>
      <x:c r="D26" s="42"/>
      <x:c r="E26" s="42"/>
      <x:c r="F26" s="42"/>
      <x:c r="G26" s="42"/>
      <x:c r="H26" s="42"/>
    </x:row>
    <x:row r="27" ht="24" customHeight="1">
      <x:c r="A27" s="129" t="str">
        <x:f>"CLINICA BUCARAMANGA · "&amp;COUNTIF('Base filtrable'!$A$5:$A$138,"Clinica Bucaramanga")&amp;" empleado(s) pendiente(s)"</x:f>
        <x:v>CLINICA BUCARAMANGA · 1 empleado(s) pendiente(s)</x:v>
      </x:c>
      <x:c r="B27" s="130"/>
      <x:c r="C27" s="130"/>
      <x:c r="D27" s="130"/>
      <x:c r="E27" s="130"/>
      <x:c r="F27" s="130"/>
      <x:c r="G27" s="130"/>
      <x:c r="H27" s="131"/>
    </x:row>
    <x:row r="28" ht="27" customHeight="1">
      <x:c r="A28" s="142" t="str">
        <x:v>Tipo doc.</x:v>
      </x:c>
      <x:c r="B28" s="143" t="str">
        <x:v>Número de documento</x:v>
      </x:c>
      <x:c r="C28" s="143" t="str">
        <x:v>Nombres</x:v>
      </x:c>
      <x:c r="D28" s="143" t="str">
        <x:v>Apellidos</x:v>
      </x:c>
      <x:c r="E28" s="143" t="str">
        <x:v>Cargo actual</x:v>
      </x:c>
      <x:c r="F28" s="143" t="str">
        <x:v>Fecha de ingreso</x:v>
      </x:c>
      <x:c r="G28" s="143" t="str">
        <x:v>Estado</x:v>
      </x:c>
      <x:c r="H28" s="144" t="str">
        <x:v>Sexo</x:v>
      </x:c>
    </x:row>
    <x:row r="29" ht="20" customHeight="1">
      <x:c r="A29" s="6" t="str">
        <x:v>CC</x:v>
      </x:c>
      <x:c r="B29" s="7" t="str">
        <x:v>1121300653</x:v>
      </x:c>
      <x:c r="C29" s="3" t="str">
        <x:v>Marley Viviana</x:v>
      </x:c>
      <x:c r="D29" s="3" t="str">
        <x:v>Rendon Estrada</x:v>
      </x:c>
      <x:c r="E29" s="3" t="str">
        <x:v>Auxiliares De  Servicios Hospitalarios</x:v>
      </x:c>
      <x:c r="F29" s="8" t="n">
        <x:v>45290</x:v>
      </x:c>
      <x:c r="G29" s="6" t="str">
        <x:v>Activo</x:v>
      </x:c>
      <x:c r="H29" s="146" t="str">
        <x:v>Sin diligenciar</x:v>
      </x:c>
    </x:row>
    <x:row r="30">
      <x:c r="A30" s="42"/>
      <x:c r="B30" s="42"/>
      <x:c r="C30" s="42"/>
      <x:c r="D30" s="42"/>
      <x:c r="E30" s="42"/>
      <x:c r="F30" s="42"/>
      <x:c r="G30" s="42"/>
      <x:c r="H30" s="42"/>
    </x:row>
    <x:row r="31" ht="24" customHeight="1">
      <x:c r="A31" s="129" t="str">
        <x:f>"COLEGIO CALDAS · "&amp;COUNTIF('Base filtrable'!$A$5:$A$138,"Colegio Caldas")&amp;" empleado(s) pendiente(s)"</x:f>
        <x:v>COLEGIO CALDAS · 5 empleado(s) pendiente(s)</x:v>
      </x:c>
      <x:c r="B31" s="130"/>
      <x:c r="C31" s="130"/>
      <x:c r="D31" s="130"/>
      <x:c r="E31" s="130"/>
      <x:c r="F31" s="130"/>
      <x:c r="G31" s="130"/>
      <x:c r="H31" s="131"/>
    </x:row>
    <x:row r="32" ht="27" customHeight="1">
      <x:c r="A32" s="142" t="str">
        <x:v>Tipo doc.</x:v>
      </x:c>
      <x:c r="B32" s="143" t="str">
        <x:v>Número de documento</x:v>
      </x:c>
      <x:c r="C32" s="143" t="str">
        <x:v>Nombres</x:v>
      </x:c>
      <x:c r="D32" s="143" t="str">
        <x:v>Apellidos</x:v>
      </x:c>
      <x:c r="E32" s="143" t="str">
        <x:v>Cargo actual</x:v>
      </x:c>
      <x:c r="F32" s="143" t="str">
        <x:v>Fecha de ingreso</x:v>
      </x:c>
      <x:c r="G32" s="143" t="str">
        <x:v>Estado</x:v>
      </x:c>
      <x:c r="H32" s="144" t="str">
        <x:v>Sexo</x:v>
      </x:c>
    </x:row>
    <x:row r="33" ht="20" customHeight="1">
      <x:c r="A33" s="31" t="str">
        <x:v>CC</x:v>
      </x:c>
      <x:c r="B33" s="32" t="str">
        <x:v>91539979</x:v>
      </x:c>
      <x:c r="C33" s="30" t="str">
        <x:v>Milton Eliecer</x:v>
      </x:c>
      <x:c r="D33" s="30" t="str">
        <x:v>Arenas Higuera</x:v>
      </x:c>
      <x:c r="E33" s="30" t="str">
        <x:v>Aprendiz Sena Productiva</x:v>
      </x:c>
      <x:c r="F33" s="33" t="n">
        <x:v>46077</x:v>
      </x:c>
      <x:c r="G33" s="31" t="str">
        <x:v>Activo</x:v>
      </x:c>
      <x:c r="H33" s="153" t="str">
        <x:v>Sin diligenciar</x:v>
      </x:c>
    </x:row>
    <x:row r="34" ht="20" customHeight="1">
      <x:c r="A34" s="35" t="str">
        <x:v>CC</x:v>
      </x:c>
      <x:c r="B34" s="36" t="str">
        <x:v>52077537</x:v>
      </x:c>
      <x:c r="C34" s="34" t="str">
        <x:v>Carmenza</x:v>
      </x:c>
      <x:c r="D34" s="34" t="str">
        <x:v>Arias Rodriguez</x:v>
      </x:c>
      <x:c r="E34" s="34" t="str">
        <x:v>Jefe De Cocina</x:v>
      </x:c>
      <x:c r="F34" s="37" t="n">
        <x:v>41470</x:v>
      </x:c>
      <x:c r="G34" s="35" t="str">
        <x:v>Activo</x:v>
      </x:c>
      <x:c r="H34" s="154" t="str">
        <x:v>Sin diligenciar</x:v>
      </x:c>
    </x:row>
    <x:row r="35" ht="20" customHeight="1">
      <x:c r="A35" s="35" t="str">
        <x:v>CC</x:v>
      </x:c>
      <x:c r="B35" s="36" t="str">
        <x:v>63502982</x:v>
      </x:c>
      <x:c r="C35" s="34" t="str">
        <x:v>Claudia Cecilia</x:v>
      </x:c>
      <x:c r="D35" s="34" t="str">
        <x:v>Diaz Maldonado</x:v>
      </x:c>
      <x:c r="E35" s="34" t="str">
        <x:v>Supervisor De Alimentos</x:v>
      </x:c>
      <x:c r="F35" s="37" t="n">
        <x:v>44235</x:v>
      </x:c>
      <x:c r="G35" s="35" t="str">
        <x:v>Activo</x:v>
      </x:c>
      <x:c r="H35" s="154" t="str">
        <x:v>Sin diligenciar</x:v>
      </x:c>
    </x:row>
    <x:row r="36" ht="20" customHeight="1">
      <x:c r="A36" s="35" t="str">
        <x:v>CC</x:v>
      </x:c>
      <x:c r="B36" s="36" t="str">
        <x:v>1091656816</x:v>
      </x:c>
      <x:c r="C36" s="34" t="str">
        <x:v>Luisa Katalina</x:v>
      </x:c>
      <x:c r="D36" s="34" t="str">
        <x:v>Peñaranda Ojeda</x:v>
      </x:c>
      <x:c r="E36" s="34" t="str">
        <x:v>Auxiliar Administrativa</x:v>
      </x:c>
      <x:c r="F36" s="37" t="n">
        <x:v>46118</x:v>
      </x:c>
      <x:c r="G36" s="35" t="str">
        <x:v>Activo</x:v>
      </x:c>
      <x:c r="H36" s="154" t="str">
        <x:v>Sin diligenciar</x:v>
      </x:c>
    </x:row>
    <x:row r="37" ht="20" customHeight="1">
      <x:c r="A37" s="39" t="str">
        <x:v>CC</x:v>
      </x:c>
      <x:c r="B37" s="40" t="str">
        <x:v>1005339825</x:v>
      </x:c>
      <x:c r="C37" s="38" t="str">
        <x:v>Jessica Andrea</x:v>
      </x:c>
      <x:c r="D37" s="38" t="str">
        <x:v>Sanabria Rosas</x:v>
      </x:c>
      <x:c r="E37" s="38" t="str">
        <x:v>Auxiliar De Cocina</x:v>
      </x:c>
      <x:c r="F37" s="41" t="n">
        <x:v>46118</x:v>
      </x:c>
      <x:c r="G37" s="39" t="str">
        <x:v>Activo</x:v>
      </x:c>
      <x:c r="H37" s="155" t="str">
        <x:v>Sin diligenciar</x:v>
      </x:c>
    </x:row>
    <x:row r="38">
      <x:c r="A38" s="42"/>
      <x:c r="B38" s="42"/>
      <x:c r="C38" s="42"/>
      <x:c r="D38" s="42"/>
      <x:c r="E38" s="42"/>
      <x:c r="F38" s="42"/>
      <x:c r="G38" s="42"/>
      <x:c r="H38" s="42"/>
    </x:row>
    <x:row r="39" ht="24" customHeight="1">
      <x:c r="A39" s="129" t="str">
        <x:f>"CPA BUCARAMANGA KM4 · "&amp;COUNTIF('Base filtrable'!$A$5:$A$138,"Cpa Bucaramanga Km4")&amp;" empleado(s) pendiente(s)"</x:f>
        <x:v>CPA BUCARAMANGA KM4 · 3 empleado(s) pendiente(s)</x:v>
      </x:c>
      <x:c r="B39" s="130"/>
      <x:c r="C39" s="130"/>
      <x:c r="D39" s="130"/>
      <x:c r="E39" s="130"/>
      <x:c r="F39" s="130"/>
      <x:c r="G39" s="130"/>
      <x:c r="H39" s="131"/>
    </x:row>
    <x:row r="40" ht="27" customHeight="1">
      <x:c r="A40" s="142" t="str">
        <x:v>Tipo doc.</x:v>
      </x:c>
      <x:c r="B40" s="143" t="str">
        <x:v>Número de documento</x:v>
      </x:c>
      <x:c r="C40" s="143" t="str">
        <x:v>Nombres</x:v>
      </x:c>
      <x:c r="D40" s="143" t="str">
        <x:v>Apellidos</x:v>
      </x:c>
      <x:c r="E40" s="143" t="str">
        <x:v>Cargo actual</x:v>
      </x:c>
      <x:c r="F40" s="143" t="str">
        <x:v>Fecha de ingreso</x:v>
      </x:c>
      <x:c r="G40" s="143" t="str">
        <x:v>Estado</x:v>
      </x:c>
      <x:c r="H40" s="144" t="str">
        <x:v>Sexo</x:v>
      </x:c>
    </x:row>
    <x:row r="41" ht="20" customHeight="1">
      <x:c r="A41" s="31" t="str">
        <x:v>CC</x:v>
      </x:c>
      <x:c r="B41" s="32" t="str">
        <x:v>30208334</x:v>
      </x:c>
      <x:c r="C41" s="30" t="str">
        <x:v>Carmen Rosa</x:v>
      </x:c>
      <x:c r="D41" s="30" t="str">
        <x:v>Liebano Gutierrez</x:v>
      </x:c>
      <x:c r="E41" s="30" t="str">
        <x:v>Jefe De Cocina(Programas Especiales)</x:v>
      </x:c>
      <x:c r="F41" s="33" t="n">
        <x:v>44956</x:v>
      </x:c>
      <x:c r="G41" s="31" t="str">
        <x:v>Activo</x:v>
      </x:c>
      <x:c r="H41" s="153" t="str">
        <x:v>Sin diligenciar</x:v>
      </x:c>
    </x:row>
    <x:row r="42" ht="20" customHeight="1">
      <x:c r="A42" s="35" t="str">
        <x:v>PPT</x:v>
      </x:c>
      <x:c r="B42" s="36" t="str">
        <x:v>6887309</x:v>
      </x:c>
      <x:c r="C42" s="34" t="str">
        <x:v>Jose Alejandro</x:v>
      </x:c>
      <x:c r="D42" s="34" t="str">
        <x:v>Loyo Salazar</x:v>
      </x:c>
      <x:c r="E42" s="34" t="str">
        <x:v>Auxiliar De Cocina</x:v>
      </x:c>
      <x:c r="F42" s="37" t="n">
        <x:v>46062</x:v>
      </x:c>
      <x:c r="G42" s="35" t="str">
        <x:v>Activo</x:v>
      </x:c>
      <x:c r="H42" s="154" t="str">
        <x:v>Sin diligenciar</x:v>
      </x:c>
    </x:row>
    <x:row r="43" ht="20" customHeight="1">
      <x:c r="A43" s="39" t="str">
        <x:v>CC</x:v>
      </x:c>
      <x:c r="B43" s="40" t="str">
        <x:v>13872933</x:v>
      </x:c>
      <x:c r="C43" s="38" t="str">
        <x:v>Carlos</x:v>
      </x:c>
      <x:c r="D43" s="38" t="str">
        <x:v>Villamizar Sanchez</x:v>
      </x:c>
      <x:c r="E43" s="38" t="str">
        <x:v>Conductor</x:v>
      </x:c>
      <x:c r="F43" s="41" t="n">
        <x:v>46055</x:v>
      </x:c>
      <x:c r="G43" s="39" t="str">
        <x:v>Activo</x:v>
      </x:c>
      <x:c r="H43" s="155" t="str">
        <x:v>Sin diligenciar</x:v>
      </x:c>
    </x:row>
    <x:row r="44">
      <x:c r="A44" s="42"/>
      <x:c r="B44" s="42"/>
      <x:c r="C44" s="42"/>
      <x:c r="D44" s="42"/>
      <x:c r="E44" s="42"/>
      <x:c r="F44" s="42"/>
      <x:c r="G44" s="42"/>
      <x:c r="H44" s="42"/>
    </x:row>
    <x:row r="45" ht="24" customHeight="1">
      <x:c r="A45" s="129" t="str">
        <x:f>"CPA CALLE 38 · "&amp;COUNTIF('Base filtrable'!$A$5:$A$138,"Cpa Calle 38")&amp;" empleado(s) pendiente(s)"</x:f>
        <x:v>CPA CALLE 38 · 2 empleado(s) pendiente(s)</x:v>
      </x:c>
      <x:c r="B45" s="130"/>
      <x:c r="C45" s="130"/>
      <x:c r="D45" s="130"/>
      <x:c r="E45" s="130"/>
      <x:c r="F45" s="130"/>
      <x:c r="G45" s="130"/>
      <x:c r="H45" s="131"/>
    </x:row>
    <x:row r="46" ht="27" customHeight="1">
      <x:c r="A46" s="142" t="str">
        <x:v>Tipo doc.</x:v>
      </x:c>
      <x:c r="B46" s="143" t="str">
        <x:v>Número de documento</x:v>
      </x:c>
      <x:c r="C46" s="143" t="str">
        <x:v>Nombres</x:v>
      </x:c>
      <x:c r="D46" s="143" t="str">
        <x:v>Apellidos</x:v>
      </x:c>
      <x:c r="E46" s="143" t="str">
        <x:v>Cargo actual</x:v>
      </x:c>
      <x:c r="F46" s="143" t="str">
        <x:v>Fecha de ingreso</x:v>
      </x:c>
      <x:c r="G46" s="143" t="str">
        <x:v>Estado</x:v>
      </x:c>
      <x:c r="H46" s="144" t="str">
        <x:v>Sexo</x:v>
      </x:c>
    </x:row>
    <x:row r="47" ht="20" customHeight="1">
      <x:c r="A47" s="31" t="str">
        <x:v>CC</x:v>
      </x:c>
      <x:c r="B47" s="32" t="str">
        <x:v>63310121</x:v>
      </x:c>
      <x:c r="C47" s="30" t="str">
        <x:v>Doris Cecilia</x:v>
      </x:c>
      <x:c r="D47" s="30" t="str">
        <x:v>Orduz Rodriguez</x:v>
      </x:c>
      <x:c r="E47" s="30" t="str">
        <x:v>Jefe De Cocina(Programas Especiales)</x:v>
      </x:c>
      <x:c r="F47" s="33" t="n">
        <x:v>44235</x:v>
      </x:c>
      <x:c r="G47" s="31" t="str">
        <x:v>Activo</x:v>
      </x:c>
      <x:c r="H47" s="153" t="str">
        <x:v>Sin diligenciar</x:v>
      </x:c>
    </x:row>
    <x:row r="48" ht="20" customHeight="1">
      <x:c r="A48" s="39" t="str">
        <x:v>CC</x:v>
      </x:c>
      <x:c r="B48" s="40" t="str">
        <x:v>91157632</x:v>
      </x:c>
      <x:c r="C48" s="38" t="str">
        <x:v>Gerardo</x:v>
      </x:c>
      <x:c r="D48" s="38" t="str">
        <x:v>Vargas Ramirez</x:v>
      </x:c>
      <x:c r="E48" s="38" t="str">
        <x:v>Conductor</x:v>
      </x:c>
      <x:c r="F48" s="41" t="n">
        <x:v>45971</x:v>
      </x:c>
      <x:c r="G48" s="39" t="str">
        <x:v>Activo</x:v>
      </x:c>
      <x:c r="H48" s="155" t="str">
        <x:v>Sin diligenciar</x:v>
      </x:c>
    </x:row>
    <x:row r="49">
      <x:c r="A49" s="42"/>
      <x:c r="B49" s="42"/>
      <x:c r="C49" s="42"/>
      <x:c r="D49" s="42"/>
      <x:c r="E49" s="42"/>
      <x:c r="F49" s="42"/>
      <x:c r="G49" s="42"/>
      <x:c r="H49" s="42"/>
    </x:row>
    <x:row r="50" ht="24" customHeight="1">
      <x:c r="A50" s="129" t="str">
        <x:f>"EL CENTRO · "&amp;COUNTIF('Base filtrable'!$A$5:$A$138,"El Centro")&amp;" empleado(s) pendiente(s)"</x:f>
        <x:v>EL CENTRO · 10 empleado(s) pendiente(s)</x:v>
      </x:c>
      <x:c r="B50" s="130"/>
      <x:c r="C50" s="130"/>
      <x:c r="D50" s="130"/>
      <x:c r="E50" s="130"/>
      <x:c r="F50" s="130"/>
      <x:c r="G50" s="130"/>
      <x:c r="H50" s="131"/>
    </x:row>
    <x:row r="51" ht="27" customHeight="1">
      <x:c r="A51" s="142" t="str">
        <x:v>Tipo doc.</x:v>
      </x:c>
      <x:c r="B51" s="143" t="str">
        <x:v>Número de documento</x:v>
      </x:c>
      <x:c r="C51" s="143" t="str">
        <x:v>Nombres</x:v>
      </x:c>
      <x:c r="D51" s="143" t="str">
        <x:v>Apellidos</x:v>
      </x:c>
      <x:c r="E51" s="143" t="str">
        <x:v>Cargo actual</x:v>
      </x:c>
      <x:c r="F51" s="143" t="str">
        <x:v>Fecha de ingreso</x:v>
      </x:c>
      <x:c r="G51" s="143" t="str">
        <x:v>Estado</x:v>
      </x:c>
      <x:c r="H51" s="144" t="str">
        <x:v>Sexo</x:v>
      </x:c>
    </x:row>
    <x:row r="52" ht="20" customHeight="1">
      <x:c r="A52" s="31" t="str">
        <x:v>CC</x:v>
      </x:c>
      <x:c r="B52" s="32" t="str">
        <x:v>22477762</x:v>
      </x:c>
      <x:c r="C52" s="30" t="str">
        <x:v>Maria Victoria</x:v>
      </x:c>
      <x:c r="D52" s="30" t="str">
        <x:v>Carrasquilla Mardini</x:v>
      </x:c>
      <x:c r="E52" s="30" t="str">
        <x:v>Nutricionista</x:v>
      </x:c>
      <x:c r="F52" s="33" t="n">
        <x:v>45717</x:v>
      </x:c>
      <x:c r="G52" s="31" t="str">
        <x:v>Activo</x:v>
      </x:c>
      <x:c r="H52" s="153" t="str">
        <x:v>Sin diligenciar</x:v>
      </x:c>
    </x:row>
    <x:row r="53" ht="20" customHeight="1">
      <x:c r="A53" s="35" t="str">
        <x:v>CC</x:v>
      </x:c>
      <x:c r="B53" s="36" t="str">
        <x:v>74360216</x:v>
      </x:c>
      <x:c r="C53" s="34" t="str">
        <x:v>Rafael Antonio</x:v>
      </x:c>
      <x:c r="D53" s="34" t="str">
        <x:v>Gonzalez Camargo</x:v>
      </x:c>
      <x:c r="E53" s="34" t="str">
        <x:v>Supervisor Relevante</x:v>
      </x:c>
      <x:c r="F53" s="37" t="n">
        <x:v>45716</x:v>
      </x:c>
      <x:c r="G53" s="35" t="str">
        <x:v>Activo</x:v>
      </x:c>
      <x:c r="H53" s="154" t="str">
        <x:v>Sin diligenciar</x:v>
      </x:c>
    </x:row>
    <x:row r="54" ht="20" customHeight="1">
      <x:c r="A54" s="35" t="str">
        <x:v>CC</x:v>
      </x:c>
      <x:c r="B54" s="36" t="str">
        <x:v>1005772329</x:v>
      </x:c>
      <x:c r="C54" s="34" t="str">
        <x:v>Liceth Paola</x:v>
      </x:c>
      <x:c r="D54" s="34" t="str">
        <x:v>Gonzalez Triana</x:v>
      </x:c>
      <x:c r="E54" s="34" t="str">
        <x:v>Auxiliar De Cocina</x:v>
      </x:c>
      <x:c r="F54" s="37" t="n">
        <x:v>45966</x:v>
      </x:c>
      <x:c r="G54" s="35" t="str">
        <x:v>Activo</x:v>
      </x:c>
      <x:c r="H54" s="154" t="str">
        <x:v>Sin diligenciar</x:v>
      </x:c>
    </x:row>
    <x:row r="55" ht="20" customHeight="1">
      <x:c r="A55" s="35" t="str">
        <x:v>CC</x:v>
      </x:c>
      <x:c r="B55" s="36" t="str">
        <x:v>1122141334</x:v>
      </x:c>
      <x:c r="C55" s="34" t="str">
        <x:v>ANGIE DANIELA</x:v>
      </x:c>
      <x:c r="D55" s="34" t="str">
        <x:v>LEON LOPEZ</x:v>
      </x:c>
      <x:c r="E55" s="34" t="str">
        <x:v>AUXILIAR DE COCINA</x:v>
      </x:c>
      <x:c r="F55" s="37" t="n">
        <x:v>46232</x:v>
      </x:c>
      <x:c r="G55" s="35" t="str">
        <x:v>Activo</x:v>
      </x:c>
      <x:c r="H55" s="154" t="str">
        <x:v>Sin diligenciar</x:v>
      </x:c>
    </x:row>
    <x:row r="56" ht="20" customHeight="1">
      <x:c r="A56" s="35" t="str">
        <x:v>CC</x:v>
      </x:c>
      <x:c r="B56" s="36" t="str">
        <x:v>22642506</x:v>
      </x:c>
      <x:c r="C56" s="34" t="str">
        <x:v>Maria Jimena</x:v>
      </x:c>
      <x:c r="D56" s="34" t="str">
        <x:v>Morales</x:v>
      </x:c>
      <x:c r="E56" s="34" t="str">
        <x:v>Auxiliar De Cocina</x:v>
      </x:c>
      <x:c r="F56" s="37" t="n">
        <x:v>45992</x:v>
      </x:c>
      <x:c r="G56" s="35" t="str">
        <x:v>Activo</x:v>
      </x:c>
      <x:c r="H56" s="154" t="str">
        <x:v>Sin diligenciar</x:v>
      </x:c>
    </x:row>
    <x:row r="57" ht="20" customHeight="1">
      <x:c r="A57" s="35" t="str">
        <x:v>CC</x:v>
      </x:c>
      <x:c r="B57" s="36" t="str">
        <x:v>1096203835</x:v>
      </x:c>
      <x:c r="C57" s="34" t="str">
        <x:v>Katherine</x:v>
      </x:c>
      <x:c r="D57" s="34" t="str">
        <x:v>Ñera Saavedra</x:v>
      </x:c>
      <x:c r="E57" s="34" t="str">
        <x:v>Cocinera</x:v>
      </x:c>
      <x:c r="F57" s="37" t="n">
        <x:v>45719</x:v>
      </x:c>
      <x:c r="G57" s="35" t="str">
        <x:v>Activo</x:v>
      </x:c>
      <x:c r="H57" s="154" t="str">
        <x:v>Sin diligenciar</x:v>
      </x:c>
    </x:row>
    <x:row r="58" ht="20" customHeight="1">
      <x:c r="A58" s="35" t="str">
        <x:v>CC</x:v>
      </x:c>
      <x:c r="B58" s="36" t="str">
        <x:v>1096246726</x:v>
      </x:c>
      <x:c r="C58" s="34" t="str">
        <x:v>Ibet Alejandra</x:v>
      </x:c>
      <x:c r="D58" s="34" t="str">
        <x:v>Ortiz Villabona</x:v>
      </x:c>
      <x:c r="E58" s="34" t="str">
        <x:v>Auxiliar De Cocina</x:v>
      </x:c>
      <x:c r="F58" s="37" t="n">
        <x:v>45966</x:v>
      </x:c>
      <x:c r="G58" s="35" t="str">
        <x:v>Activo</x:v>
      </x:c>
      <x:c r="H58" s="154" t="str">
        <x:v>Sin diligenciar</x:v>
      </x:c>
    </x:row>
    <x:row r="59" ht="20" customHeight="1">
      <x:c r="A59" s="35" t="str">
        <x:v>CC</x:v>
      </x:c>
      <x:c r="B59" s="36" t="str">
        <x:v>91433397</x:v>
      </x:c>
      <x:c r="C59" s="34" t="str">
        <x:v>Jhonny</x:v>
      </x:c>
      <x:c r="D59" s="34" t="str">
        <x:v>Ramirez Reyes</x:v>
      </x:c>
      <x:c r="E59" s="34" t="str">
        <x:v>Conductor Lonchero</x:v>
      </x:c>
      <x:c r="F59" s="37" t="n">
        <x:v>46054</x:v>
      </x:c>
      <x:c r="G59" s="35" t="str">
        <x:v>Activo</x:v>
      </x:c>
      <x:c r="H59" s="154" t="str">
        <x:v>Sin diligenciar</x:v>
      </x:c>
    </x:row>
    <x:row r="60" ht="20" customHeight="1">
      <x:c r="A60" s="35" t="str">
        <x:v>CC</x:v>
      </x:c>
      <x:c r="B60" s="36" t="str">
        <x:v>13569191</x:v>
      </x:c>
      <x:c r="C60" s="34" t="str">
        <x:v>Wilson Andres</x:v>
      </x:c>
      <x:c r="D60" s="34" t="str">
        <x:v>Rueda Zuluaga</x:v>
      </x:c>
      <x:c r="E60" s="34" t="str">
        <x:v>Chef</x:v>
      </x:c>
      <x:c r="F60" s="37" t="n">
        <x:v>45717</x:v>
      </x:c>
      <x:c r="G60" s="35" t="str">
        <x:v>Activo</x:v>
      </x:c>
      <x:c r="H60" s="154" t="str">
        <x:v>Sin diligenciar</x:v>
      </x:c>
    </x:row>
    <x:row r="61" ht="20" customHeight="1">
      <x:c r="A61" s="39" t="str">
        <x:v>CC</x:v>
      </x:c>
      <x:c r="B61" s="40" t="str">
        <x:v>1096209095</x:v>
      </x:c>
      <x:c r="C61" s="38" t="str">
        <x:v>Ana Laura</x:v>
      </x:c>
      <x:c r="D61" s="38" t="str">
        <x:v>Sanchez Retamoza</x:v>
      </x:c>
      <x:c r="E61" s="38" t="str">
        <x:v>Auxiliar De Cocina</x:v>
      </x:c>
      <x:c r="F61" s="41" t="n">
        <x:v>46118</x:v>
      </x:c>
      <x:c r="G61" s="39" t="str">
        <x:v>Activo</x:v>
      </x:c>
      <x:c r="H61" s="155" t="str">
        <x:v>Sin diligenciar</x:v>
      </x:c>
    </x:row>
    <x:row r="62">
      <x:c r="A62" s="42"/>
      <x:c r="B62" s="42"/>
      <x:c r="C62" s="42"/>
      <x:c r="D62" s="42"/>
      <x:c r="E62" s="42"/>
      <x:c r="F62" s="42"/>
      <x:c r="G62" s="42"/>
      <x:c r="H62" s="42"/>
    </x:row>
    <x:row r="63" ht="24" customHeight="1">
      <x:c r="A63" s="129" t="str">
        <x:f>"FUNDACION CARDIOVASCULAR · "&amp;COUNTIF('Base filtrable'!$A$5:$A$138,"Fundacion Cardiovascular")&amp;" empleado(s) pendiente(s)"</x:f>
        <x:v>FUNDACION CARDIOVASCULAR · 6 empleado(s) pendiente(s)</x:v>
      </x:c>
      <x:c r="B63" s="130"/>
      <x:c r="C63" s="130"/>
      <x:c r="D63" s="130"/>
      <x:c r="E63" s="130"/>
      <x:c r="F63" s="130"/>
      <x:c r="G63" s="130"/>
      <x:c r="H63" s="131"/>
    </x:row>
    <x:row r="64" ht="27" customHeight="1">
      <x:c r="A64" s="142" t="str">
        <x:v>Tipo doc.</x:v>
      </x:c>
      <x:c r="B64" s="143" t="str">
        <x:v>Número de documento</x:v>
      </x:c>
      <x:c r="C64" s="143" t="str">
        <x:v>Nombres</x:v>
      </x:c>
      <x:c r="D64" s="143" t="str">
        <x:v>Apellidos</x:v>
      </x:c>
      <x:c r="E64" s="143" t="str">
        <x:v>Cargo actual</x:v>
      </x:c>
      <x:c r="F64" s="143" t="str">
        <x:v>Fecha de ingreso</x:v>
      </x:c>
      <x:c r="G64" s="143" t="str">
        <x:v>Estado</x:v>
      </x:c>
      <x:c r="H64" s="144" t="str">
        <x:v>Sexo</x:v>
      </x:c>
    </x:row>
    <x:row r="65" ht="20" customHeight="1">
      <x:c r="A65" s="31" t="str">
        <x:v>CC</x:v>
      </x:c>
      <x:c r="B65" s="32" t="str">
        <x:v>39577758</x:v>
      </x:c>
      <x:c r="C65" s="30" t="str">
        <x:v>Sandra Milena</x:v>
      </x:c>
      <x:c r="D65" s="30" t="str">
        <x:v>Candelo Robles</x:v>
      </x:c>
      <x:c r="E65" s="30" t="str">
        <x:v>Auxiliar Administrativo De Servicios Hospitalarios</x:v>
      </x:c>
      <x:c r="F65" s="33" t="n">
        <x:v>45108</x:v>
      </x:c>
      <x:c r="G65" s="31" t="str">
        <x:v>Activo</x:v>
      </x:c>
      <x:c r="H65" s="153" t="str">
        <x:v>Sin diligenciar</x:v>
      </x:c>
    </x:row>
    <x:row r="66" ht="20" customHeight="1">
      <x:c r="A66" s="35" t="str">
        <x:v>CC</x:v>
      </x:c>
      <x:c r="B66" s="36" t="str">
        <x:v>1004822836</x:v>
      </x:c>
      <x:c r="C66" s="34" t="str">
        <x:v>Mariana</x:v>
      </x:c>
      <x:c r="D66" s="34" t="str">
        <x:v>Delgado Gelves</x:v>
      </x:c>
      <x:c r="E66" s="34" t="str">
        <x:v>Auxiliares De  Servicios Hospitalarios</x:v>
      </x:c>
      <x:c r="F66" s="37" t="n">
        <x:v>45962</x:v>
      </x:c>
      <x:c r="G66" s="35" t="str">
        <x:v>Activo</x:v>
      </x:c>
      <x:c r="H66" s="154" t="str">
        <x:v>Sin diligenciar</x:v>
      </x:c>
    </x:row>
    <x:row r="67" ht="20" customHeight="1">
      <x:c r="A67" s="35" t="str">
        <x:v>CC</x:v>
      </x:c>
      <x:c r="B67" s="36" t="str">
        <x:v>1098780177</x:v>
      </x:c>
      <x:c r="C67" s="34" t="str">
        <x:v>Yenifer Paola</x:v>
      </x:c>
      <x:c r="D67" s="34" t="str">
        <x:v>Hernandez</x:v>
      </x:c>
      <x:c r="E67" s="34" t="str">
        <x:v>Auxiliares De  Servicios Hospitalarios</x:v>
      </x:c>
      <x:c r="F67" s="37" t="n">
        <x:v>45308</x:v>
      </x:c>
      <x:c r="G67" s="35" t="str">
        <x:v>Activo</x:v>
      </x:c>
      <x:c r="H67" s="154" t="str">
        <x:v>Sin diligenciar</x:v>
      </x:c>
    </x:row>
    <x:row r="68" ht="20" customHeight="1">
      <x:c r="A68" s="35" t="str">
        <x:v>CC</x:v>
      </x:c>
      <x:c r="B68" s="36" t="str">
        <x:v>63563090</x:v>
      </x:c>
      <x:c r="C68" s="34" t="str">
        <x:v>Olga Beatriz</x:v>
      </x:c>
      <x:c r="D68" s="34" t="str">
        <x:v>Pachon Pinilla</x:v>
      </x:c>
      <x:c r="E68" s="34" t="str">
        <x:v>Nutricionista</x:v>
      </x:c>
      <x:c r="F68" s="37" t="n">
        <x:v>44961</x:v>
      </x:c>
      <x:c r="G68" s="35" t="str">
        <x:v>Activo</x:v>
      </x:c>
      <x:c r="H68" s="154" t="str">
        <x:v>Sin diligenciar</x:v>
      </x:c>
    </x:row>
    <x:row r="69" ht="20" customHeight="1">
      <x:c r="A69" s="35" t="str">
        <x:v>CC</x:v>
      </x:c>
      <x:c r="B69" s="36" t="str">
        <x:v>1102365215</x:v>
      </x:c>
      <x:c r="C69" s="34" t="str">
        <x:v>Rafael Mauricio</x:v>
      </x:c>
      <x:c r="D69" s="34" t="str">
        <x:v>Sarmiento Vargas</x:v>
      </x:c>
      <x:c r="E69" s="34" t="str">
        <x:v>Auxiliar Administrativo De Servicios Hospitalarios</x:v>
      </x:c>
      <x:c r="F69" s="37" t="n">
        <x:v>45302</x:v>
      </x:c>
      <x:c r="G69" s="35" t="str">
        <x:v>Activo</x:v>
      </x:c>
      <x:c r="H69" s="154" t="str">
        <x:v>Sin diligenciar</x:v>
      </x:c>
    </x:row>
    <x:row r="70" ht="20" customHeight="1">
      <x:c r="A70" s="39" t="str">
        <x:v>CC</x:v>
      </x:c>
      <x:c r="B70" s="40" t="str">
        <x:v>37711243</x:v>
      </x:c>
      <x:c r="C70" s="38" t="str">
        <x:v>Nydia Amilde</x:v>
      </x:c>
      <x:c r="D70" s="38" t="str">
        <x:v>Villamizar Perez</x:v>
      </x:c>
      <x:c r="E70" s="38" t="str">
        <x:v>Auxiliares De  Servicios Hospitalarios</x:v>
      </x:c>
      <x:c r="F70" s="41" t="n">
        <x:v>45108</x:v>
      </x:c>
      <x:c r="G70" s="39" t="str">
        <x:v>Activo</x:v>
      </x:c>
      <x:c r="H70" s="155" t="str">
        <x:v>Sin diligenciar</x:v>
      </x:c>
    </x:row>
    <x:row r="71">
      <x:c r="A71" s="42"/>
      <x:c r="B71" s="42"/>
      <x:c r="C71" s="42"/>
      <x:c r="D71" s="42"/>
      <x:c r="E71" s="42"/>
      <x:c r="F71" s="42"/>
      <x:c r="G71" s="42"/>
      <x:c r="H71" s="42"/>
    </x:row>
    <x:row r="72" ht="24" customHeight="1">
      <x:c r="A72" s="129" t="str">
        <x:f>"GANADERIA LAS MARGARITAS · "&amp;COUNTIF('Base filtrable'!$A$5:$A$138,"Ganaderia Las Margaritas")&amp;" empleado(s) pendiente(s)"</x:f>
        <x:v>GANADERIA LAS MARGARITAS · 1 empleado(s) pendiente(s)</x:v>
      </x:c>
      <x:c r="B72" s="130"/>
      <x:c r="C72" s="130"/>
      <x:c r="D72" s="130"/>
      <x:c r="E72" s="130"/>
      <x:c r="F72" s="130"/>
      <x:c r="G72" s="130"/>
      <x:c r="H72" s="131"/>
    </x:row>
    <x:row r="73" ht="27" customHeight="1">
      <x:c r="A73" s="142" t="str">
        <x:v>Tipo doc.</x:v>
      </x:c>
      <x:c r="B73" s="143" t="str">
        <x:v>Número de documento</x:v>
      </x:c>
      <x:c r="C73" s="143" t="str">
        <x:v>Nombres</x:v>
      </x:c>
      <x:c r="D73" s="143" t="str">
        <x:v>Apellidos</x:v>
      </x:c>
      <x:c r="E73" s="143" t="str">
        <x:v>Cargo actual</x:v>
      </x:c>
      <x:c r="F73" s="143" t="str">
        <x:v>Fecha de ingreso</x:v>
      </x:c>
      <x:c r="G73" s="143" t="str">
        <x:v>Estado</x:v>
      </x:c>
      <x:c r="H73" s="144" t="str">
        <x:v>Sexo</x:v>
      </x:c>
    </x:row>
    <x:row r="74" ht="20" customHeight="1">
      <x:c r="A74" s="6" t="str">
        <x:v>CC</x:v>
      </x:c>
      <x:c r="B74" s="7" t="str">
        <x:v>78646300</x:v>
      </x:c>
      <x:c r="C74" s="3" t="str">
        <x:v>Ebelio Jose</x:v>
      </x:c>
      <x:c r="D74" s="3" t="str">
        <x:v>Martinez Marmolejo</x:v>
      </x:c>
      <x:c r="E74" s="3" t="str">
        <x:v>Ganadero</x:v>
      </x:c>
      <x:c r="F74" s="8" t="n">
        <x:v>40058</x:v>
      </x:c>
      <x:c r="G74" s="6" t="str">
        <x:v>Activo</x:v>
      </x:c>
      <x:c r="H74" s="146" t="str">
        <x:v>Sin diligenciar</x:v>
      </x:c>
    </x:row>
    <x:row r="75">
      <x:c r="A75" s="42"/>
      <x:c r="B75" s="42"/>
      <x:c r="C75" s="42"/>
      <x:c r="D75" s="42"/>
      <x:c r="E75" s="42"/>
      <x:c r="F75" s="42"/>
      <x:c r="G75" s="42"/>
      <x:c r="H75" s="42"/>
    </x:row>
    <x:row r="76" ht="24" customHeight="1">
      <x:c r="A76" s="129" t="str">
        <x:f>"HIDROITUANGO · "&amp;COUNTIF('Base filtrable'!$A$5:$A$138,"Hidroituango")&amp;" empleado(s) pendiente(s)"</x:f>
        <x:v>HIDROITUANGO · 2 empleado(s) pendiente(s)</x:v>
      </x:c>
      <x:c r="B76" s="130"/>
      <x:c r="C76" s="130"/>
      <x:c r="D76" s="130"/>
      <x:c r="E76" s="130"/>
      <x:c r="F76" s="130"/>
      <x:c r="G76" s="130"/>
      <x:c r="H76" s="131"/>
    </x:row>
    <x:row r="77" ht="27" customHeight="1">
      <x:c r="A77" s="142" t="str">
        <x:v>Tipo doc.</x:v>
      </x:c>
      <x:c r="B77" s="143" t="str">
        <x:v>Número de documento</x:v>
      </x:c>
      <x:c r="C77" s="143" t="str">
        <x:v>Nombres</x:v>
      </x:c>
      <x:c r="D77" s="143" t="str">
        <x:v>Apellidos</x:v>
      </x:c>
      <x:c r="E77" s="143" t="str">
        <x:v>Cargo actual</x:v>
      </x:c>
      <x:c r="F77" s="143" t="str">
        <x:v>Fecha de ingreso</x:v>
      </x:c>
      <x:c r="G77" s="143" t="str">
        <x:v>Estado</x:v>
      </x:c>
      <x:c r="H77" s="144" t="str">
        <x:v>Sexo</x:v>
      </x:c>
    </x:row>
    <x:row r="78" ht="20" customHeight="1">
      <x:c r="A78" s="31" t="str">
        <x:v>CC</x:v>
      </x:c>
      <x:c r="B78" s="32" t="str">
        <x:v>1007762599</x:v>
      </x:c>
      <x:c r="C78" s="30" t="str">
        <x:v>Laura Melisa</x:v>
      </x:c>
      <x:c r="D78" s="30" t="str">
        <x:v>Areiza Espinosa</x:v>
      </x:c>
      <x:c r="E78" s="30" t="str">
        <x:v>Auxiliar General</x:v>
      </x:c>
      <x:c r="F78" s="33" t="n">
        <x:v>45535</x:v>
      </x:c>
      <x:c r="G78" s="31" t="str">
        <x:v>Activo</x:v>
      </x:c>
      <x:c r="H78" s="153" t="str">
        <x:v>Sin diligenciar</x:v>
      </x:c>
    </x:row>
    <x:row r="79" ht="20" customHeight="1">
      <x:c r="A79" s="39" t="str">
        <x:v>CC</x:v>
      </x:c>
      <x:c r="B79" s="40" t="str">
        <x:v>22586655 </x:v>
      </x:c>
      <x:c r="C79" s="38" t="str">
        <x:v>Laudith Johana</x:v>
      </x:c>
      <x:c r="D79" s="38" t="str">
        <x:v>Ospino Benitez</x:v>
      </x:c>
      <x:c r="E79" s="38" t="str">
        <x:v>Auxiliar General</x:v>
      </x:c>
      <x:c r="F79" s="41" t="n">
        <x:v>46087</x:v>
      </x:c>
      <x:c r="G79" s="39" t="str">
        <x:v>Activo</x:v>
      </x:c>
      <x:c r="H79" s="155" t="str">
        <x:v>Sin diligenciar</x:v>
      </x:c>
    </x:row>
    <x:row r="80">
      <x:c r="A80" s="42"/>
      <x:c r="B80" s="42"/>
      <x:c r="C80" s="42"/>
      <x:c r="D80" s="42"/>
      <x:c r="E80" s="42"/>
      <x:c r="F80" s="42"/>
      <x:c r="G80" s="42"/>
      <x:c r="H80" s="42"/>
    </x:row>
    <x:row r="81" ht="24" customHeight="1">
      <x:c r="A81" s="129" t="str">
        <x:f>"HOCOL-OCELOTE · "&amp;COUNTIF('Base filtrable'!$A$5:$A$138,"Hocol-Ocelote")&amp;" empleado(s) pendiente(s)"</x:f>
        <x:v>HOCOL-OCELOTE · 3 empleado(s) pendiente(s)</x:v>
      </x:c>
      <x:c r="B81" s="130"/>
      <x:c r="C81" s="130"/>
      <x:c r="D81" s="130"/>
      <x:c r="E81" s="130"/>
      <x:c r="F81" s="130"/>
      <x:c r="G81" s="130"/>
      <x:c r="H81" s="131"/>
    </x:row>
    <x:row r="82" ht="27" customHeight="1">
      <x:c r="A82" s="142" t="str">
        <x:v>Tipo doc.</x:v>
      </x:c>
      <x:c r="B82" s="143" t="str">
        <x:v>Número de documento</x:v>
      </x:c>
      <x:c r="C82" s="143" t="str">
        <x:v>Nombres</x:v>
      </x:c>
      <x:c r="D82" s="143" t="str">
        <x:v>Apellidos</x:v>
      </x:c>
      <x:c r="E82" s="143" t="str">
        <x:v>Cargo actual</x:v>
      </x:c>
      <x:c r="F82" s="143" t="str">
        <x:v>Fecha de ingreso</x:v>
      </x:c>
      <x:c r="G82" s="143" t="str">
        <x:v>Estado</x:v>
      </x:c>
      <x:c r="H82" s="144" t="str">
        <x:v>Sexo</x:v>
      </x:c>
    </x:row>
    <x:row r="83" ht="20" customHeight="1">
      <x:c r="A83" s="31" t="str">
        <x:v>CC</x:v>
      </x:c>
      <x:c r="B83" s="32" t="str">
        <x:v>1193089937</x:v>
      </x:c>
      <x:c r="C83" s="30" t="str">
        <x:v>Laura Liliana</x:v>
      </x:c>
      <x:c r="D83" s="30" t="str">
        <x:v>Fuentes Bossa</x:v>
      </x:c>
      <x:c r="E83" s="30" t="str">
        <x:v>Mesera</x:v>
      </x:c>
      <x:c r="F83" s="33" t="n">
        <x:v>46097</x:v>
      </x:c>
      <x:c r="G83" s="31" t="str">
        <x:v>Activo</x:v>
      </x:c>
      <x:c r="H83" s="153" t="str">
        <x:v>Sin diligenciar</x:v>
      </x:c>
    </x:row>
    <x:row r="84" ht="20" customHeight="1">
      <x:c r="A84" s="35" t="str">
        <x:v>CC</x:v>
      </x:c>
      <x:c r="B84" s="36" t="str">
        <x:v>40250424</x:v>
      </x:c>
      <x:c r="C84" s="34" t="str">
        <x:v>Vilma Patricia</x:v>
      </x:c>
      <x:c r="D84" s="34" t="str">
        <x:v>Galvis Gaitan</x:v>
      </x:c>
      <x:c r="E84" s="34" t="str">
        <x:v>Auxiliar De Cocina</x:v>
      </x:c>
      <x:c r="F84" s="37" t="n">
        <x:v>46113</x:v>
      </x:c>
      <x:c r="G84" s="35" t="str">
        <x:v>Activo</x:v>
      </x:c>
      <x:c r="H84" s="154" t="str">
        <x:v>Sin diligenciar</x:v>
      </x:c>
    </x:row>
    <x:row r="85" ht="20" customHeight="1">
      <x:c r="A85" s="39" t="str">
        <x:v>CC</x:v>
      </x:c>
      <x:c r="B85" s="40" t="str">
        <x:v>1134449452</x:v>
      </x:c>
      <x:c r="C85" s="38" t="str">
        <x:v>Luisa</x:v>
      </x:c>
      <x:c r="D85" s="38" t="str">
        <x:v>Morales Leon</x:v>
      </x:c>
      <x:c r="E85" s="38" t="str">
        <x:v>Auxiliar De Cocina</x:v>
      </x:c>
      <x:c r="F85" s="41" t="n">
        <x:v>45977</x:v>
      </x:c>
      <x:c r="G85" s="39" t="str">
        <x:v>Activo</x:v>
      </x:c>
      <x:c r="H85" s="155" t="str">
        <x:v>Sin diligenciar</x:v>
      </x:c>
    </x:row>
    <x:row r="86">
      <x:c r="A86" s="42"/>
      <x:c r="B86" s="42"/>
      <x:c r="C86" s="42"/>
      <x:c r="D86" s="42"/>
      <x:c r="E86" s="42"/>
      <x:c r="F86" s="42"/>
      <x:c r="G86" s="42"/>
      <x:c r="H86" s="42"/>
    </x:row>
    <x:row r="87" ht="24" customHeight="1">
      <x:c r="A87" s="129" t="str">
        <x:f>"LOTE 1 (LOTE 2 VR) · "&amp;COUNTIF('Base filtrable'!$A$5:$A$138,"Lote 1 (Lote 2 Vr)")&amp;" empleado(s) pendiente(s)"</x:f>
        <x:v>LOTE 1 (LOTE 2 VR) · 1 empleado(s) pendiente(s)</x:v>
      </x:c>
      <x:c r="B87" s="130"/>
      <x:c r="C87" s="130"/>
      <x:c r="D87" s="130"/>
      <x:c r="E87" s="130"/>
      <x:c r="F87" s="130"/>
      <x:c r="G87" s="130"/>
      <x:c r="H87" s="131"/>
    </x:row>
    <x:row r="88" ht="27" customHeight="1">
      <x:c r="A88" s="142" t="str">
        <x:v>Tipo doc.</x:v>
      </x:c>
      <x:c r="B88" s="143" t="str">
        <x:v>Número de documento</x:v>
      </x:c>
      <x:c r="C88" s="143" t="str">
        <x:v>Nombres</x:v>
      </x:c>
      <x:c r="D88" s="143" t="str">
        <x:v>Apellidos</x:v>
      </x:c>
      <x:c r="E88" s="143" t="str">
        <x:v>Cargo actual</x:v>
      </x:c>
      <x:c r="F88" s="143" t="str">
        <x:v>Fecha de ingreso</x:v>
      </x:c>
      <x:c r="G88" s="143" t="str">
        <x:v>Estado</x:v>
      </x:c>
      <x:c r="H88" s="144" t="str">
        <x:v>Sexo</x:v>
      </x:c>
    </x:row>
    <x:row r="89" ht="20" customHeight="1">
      <x:c r="A89" s="6" t="str">
        <x:v>CC</x:v>
      </x:c>
      <x:c r="B89" s="7" t="str">
        <x:v>1005279934</x:v>
      </x:c>
      <x:c r="C89" s="3" t="str">
        <x:v>Maria Fernanda</x:v>
      </x:c>
      <x:c r="D89" s="3" t="str">
        <x:v>Garcia Villabona</x:v>
      </x:c>
      <x:c r="E89" s="3" t="str">
        <x:v>Clasificadora De Huevos</x:v>
      </x:c>
      <x:c r="F89" s="8" t="n">
        <x:v>45586</x:v>
      </x:c>
      <x:c r="G89" s="6" t="str">
        <x:v>Activo</x:v>
      </x:c>
      <x:c r="H89" s="146" t="str">
        <x:v>Sin diligenciar</x:v>
      </x:c>
    </x:row>
    <x:row r="90">
      <x:c r="A90" s="42"/>
      <x:c r="B90" s="42"/>
      <x:c r="C90" s="42"/>
      <x:c r="D90" s="42"/>
      <x:c r="E90" s="42"/>
      <x:c r="F90" s="42"/>
      <x:c r="G90" s="42"/>
      <x:c r="H90" s="42"/>
    </x:row>
    <x:row r="91" ht="24" customHeight="1">
      <x:c r="A91" s="129" t="str">
        <x:f>"LOTE 1 VR · "&amp;COUNTIF('Base filtrable'!$A$5:$A$138,"Lote 1 Vr")&amp;" empleado(s) pendiente(s)"</x:f>
        <x:v>LOTE 1 VR · 13 empleado(s) pendiente(s)</x:v>
      </x:c>
      <x:c r="B91" s="130"/>
      <x:c r="C91" s="130"/>
      <x:c r="D91" s="130"/>
      <x:c r="E91" s="130"/>
      <x:c r="F91" s="130"/>
      <x:c r="G91" s="130"/>
      <x:c r="H91" s="131"/>
    </x:row>
    <x:row r="92" ht="27" customHeight="1">
      <x:c r="A92" s="142" t="str">
        <x:v>Tipo doc.</x:v>
      </x:c>
      <x:c r="B92" s="143" t="str">
        <x:v>Número de documento</x:v>
      </x:c>
      <x:c r="C92" s="143" t="str">
        <x:v>Nombres</x:v>
      </x:c>
      <x:c r="D92" s="143" t="str">
        <x:v>Apellidos</x:v>
      </x:c>
      <x:c r="E92" s="143" t="str">
        <x:v>Cargo actual</x:v>
      </x:c>
      <x:c r="F92" s="143" t="str">
        <x:v>Fecha de ingreso</x:v>
      </x:c>
      <x:c r="G92" s="143" t="str">
        <x:v>Estado</x:v>
      </x:c>
      <x:c r="H92" s="144" t="str">
        <x:v>Sexo</x:v>
      </x:c>
    </x:row>
    <x:row r="93" ht="20" customHeight="1">
      <x:c r="A93" s="31" t="str">
        <x:v>CC</x:v>
      </x:c>
      <x:c r="B93" s="32" t="str">
        <x:v>5581625</x:v>
      </x:c>
      <x:c r="C93" s="30" t="str">
        <x:v>Edgar</x:v>
      </x:c>
      <x:c r="D93" s="30" t="str">
        <x:v>Bautista Gomez</x:v>
      </x:c>
      <x:c r="E93" s="30" t="str">
        <x:v>Clasificadora De Huevos</x:v>
      </x:c>
      <x:c r="F93" s="33" t="n">
        <x:v>43960</x:v>
      </x:c>
      <x:c r="G93" s="31" t="str">
        <x:v>Activo</x:v>
      </x:c>
      <x:c r="H93" s="153" t="str">
        <x:v>Sin diligenciar</x:v>
      </x:c>
    </x:row>
    <x:row r="94" ht="20" customHeight="1">
      <x:c r="A94" s="35" t="str">
        <x:v>CC</x:v>
      </x:c>
      <x:c r="B94" s="36" t="str">
        <x:v>1007331197</x:v>
      </x:c>
      <x:c r="C94" s="34" t="str">
        <x:v>Miguel Angel</x:v>
      </x:c>
      <x:c r="D94" s="34" t="str">
        <x:v>Carrillo Santos</x:v>
      </x:c>
      <x:c r="E94" s="34" t="str">
        <x:v>Galponero</x:v>
      </x:c>
      <x:c r="F94" s="37" t="n">
        <x:v>46043</x:v>
      </x:c>
      <x:c r="G94" s="35" t="str">
        <x:v>Activo</x:v>
      </x:c>
      <x:c r="H94" s="154" t="str">
        <x:v>Sin diligenciar</x:v>
      </x:c>
    </x:row>
    <x:row r="95" ht="20" customHeight="1">
      <x:c r="A95" s="35" t="str">
        <x:v>CC</x:v>
      </x:c>
      <x:c r="B95" s="36" t="str">
        <x:v>26767738</x:v>
      </x:c>
      <x:c r="C95" s="34" t="str">
        <x:v>Nolvis Maria</x:v>
      </x:c>
      <x:c r="D95" s="34" t="str">
        <x:v>Eljach Obeso</x:v>
      </x:c>
      <x:c r="E95" s="34" t="str">
        <x:v>Clasificadora De Huevos</x:v>
      </x:c>
      <x:c r="F95" s="37" t="n">
        <x:v>45448</x:v>
      </x:c>
      <x:c r="G95" s="35" t="str">
        <x:v>Activo</x:v>
      </x:c>
      <x:c r="H95" s="154" t="str">
        <x:v>Sin diligenciar</x:v>
      </x:c>
    </x:row>
    <x:row r="96" ht="20" customHeight="1">
      <x:c r="A96" s="35" t="str">
        <x:v>CC</x:v>
      </x:c>
      <x:c r="B96" s="36" t="str">
        <x:v>13513405</x:v>
      </x:c>
      <x:c r="C96" s="34" t="str">
        <x:v>Luis Alfredo</x:v>
      </x:c>
      <x:c r="D96" s="34" t="str">
        <x:v>Garcia Leon</x:v>
      </x:c>
      <x:c r="E96" s="34" t="str">
        <x:v>Galponero</x:v>
      </x:c>
      <x:c r="F96" s="37" t="n">
        <x:v>40884</x:v>
      </x:c>
      <x:c r="G96" s="35" t="str">
        <x:v>Activo</x:v>
      </x:c>
      <x:c r="H96" s="154" t="str">
        <x:v>Sin diligenciar</x:v>
      </x:c>
    </x:row>
    <x:row r="97" ht="20" customHeight="1">
      <x:c r="A97" s="35" t="str">
        <x:v>CC</x:v>
      </x:c>
      <x:c r="B97" s="36" t="str">
        <x:v>1100890502</x:v>
      </x:c>
      <x:c r="C97" s="34" t="str">
        <x:v>Oscar</x:v>
      </x:c>
      <x:c r="D97" s="34" t="str">
        <x:v>Medina Delgado</x:v>
      </x:c>
      <x:c r="E97" s="34" t="str">
        <x:v>Galponero</x:v>
      </x:c>
      <x:c r="F97" s="37" t="n">
        <x:v>45239</x:v>
      </x:c>
      <x:c r="G97" s="35" t="str">
        <x:v>Activo</x:v>
      </x:c>
      <x:c r="H97" s="154" t="str">
        <x:v>Sin diligenciar</x:v>
      </x:c>
    </x:row>
    <x:row r="98" ht="20" customHeight="1">
      <x:c r="A98" s="35" t="str">
        <x:v>CC</x:v>
      </x:c>
      <x:c r="B98" s="36" t="str">
        <x:v>91348111</x:v>
      </x:c>
      <x:c r="C98" s="34" t="str">
        <x:v>Julio Cesar</x:v>
      </x:c>
      <x:c r="D98" s="34" t="str">
        <x:v>Pabon Silva</x:v>
      </x:c>
      <x:c r="E98" s="34" t="str">
        <x:v>Oficios Varios</x:v>
      </x:c>
      <x:c r="F98" s="37" t="n">
        <x:v>45111</x:v>
      </x:c>
      <x:c r="G98" s="35" t="str">
        <x:v>Activo</x:v>
      </x:c>
      <x:c r="H98" s="154" t="str">
        <x:v>Sin diligenciar</x:v>
      </x:c>
    </x:row>
    <x:row r="99" ht="20" customHeight="1">
      <x:c r="A99" s="35" t="str">
        <x:v>CC</x:v>
      </x:c>
      <x:c r="B99" s="36" t="str">
        <x:v>85473834</x:v>
      </x:c>
      <x:c r="C99" s="34" t="str">
        <x:v>Elvis Roman</x:v>
      </x:c>
      <x:c r="D99" s="34" t="str">
        <x:v>Prada Prada</x:v>
      </x:c>
      <x:c r="E99" s="34" t="str">
        <x:v>Comercializador De Huevos</x:v>
      </x:c>
      <x:c r="F99" s="37" t="n">
        <x:v>45397</x:v>
      </x:c>
      <x:c r="G99" s="35" t="str">
        <x:v>Activo</x:v>
      </x:c>
      <x:c r="H99" s="154" t="str">
        <x:v>Sin diligenciar</x:v>
      </x:c>
    </x:row>
    <x:row r="100" ht="20" customHeight="1">
      <x:c r="A100" s="35" t="str">
        <x:v>CC</x:v>
      </x:c>
      <x:c r="B100" s="36" t="str">
        <x:v>1094247040</x:v>
      </x:c>
      <x:c r="C100" s="34" t="str">
        <x:v>Jusveydy Natali</x:v>
      </x:c>
      <x:c r="D100" s="34" t="str">
        <x:v>Quintana Silva</x:v>
      </x:c>
      <x:c r="E100" s="34" t="str">
        <x:v>Clasificadora De Huevos</x:v>
      </x:c>
      <x:c r="F100" s="37" t="n">
        <x:v>44974</x:v>
      </x:c>
      <x:c r="G100" s="35" t="str">
        <x:v>Activo</x:v>
      </x:c>
      <x:c r="H100" s="154" t="str">
        <x:v>Sin diligenciar</x:v>
      </x:c>
    </x:row>
    <x:row r="101" ht="20" customHeight="1">
      <x:c r="A101" s="35" t="str">
        <x:v>CC</x:v>
      </x:c>
      <x:c r="B101" s="36" t="str">
        <x:v>91047791</x:v>
      </x:c>
      <x:c r="C101" s="34" t="str">
        <x:v>Jimmy</x:v>
      </x:c>
      <x:c r="D101" s="34" t="str">
        <x:v>Rojas Vargas</x:v>
      </x:c>
      <x:c r="E101" s="34" t="str">
        <x:v>Galponero</x:v>
      </x:c>
      <x:c r="F101" s="37" t="n">
        <x:v>45098</x:v>
      </x:c>
      <x:c r="G101" s="35" t="str">
        <x:v>Activo</x:v>
      </x:c>
      <x:c r="H101" s="154" t="str">
        <x:v>Sin diligenciar</x:v>
      </x:c>
    </x:row>
    <x:row r="102" ht="20" customHeight="1">
      <x:c r="A102" s="35" t="str">
        <x:v>CC</x:v>
      </x:c>
      <x:c r="B102" s="36" t="str">
        <x:v>1101694799</x:v>
      </x:c>
      <x:c r="C102" s="34" t="str">
        <x:v>Odeth Lorena</x:v>
      </x:c>
      <x:c r="D102" s="34" t="str">
        <x:v>Suarez Hurtado</x:v>
      </x:c>
      <x:c r="E102" s="34" t="str">
        <x:v>Auxiliar Agropecuaria</x:v>
      </x:c>
      <x:c r="F102" s="37" t="n">
        <x:v>45460</x:v>
      </x:c>
      <x:c r="G102" s="35" t="str">
        <x:v>Activo</x:v>
      </x:c>
      <x:c r="H102" s="154" t="str">
        <x:v>Sin diligenciar</x:v>
      </x:c>
    </x:row>
    <x:row r="103" ht="20" customHeight="1">
      <x:c r="A103" s="35" t="str">
        <x:v>CC</x:v>
      </x:c>
      <x:c r="B103" s="36" t="str">
        <x:v>1100949871</x:v>
      </x:c>
      <x:c r="C103" s="34" t="str">
        <x:v>Victor Alejandro</x:v>
      </x:c>
      <x:c r="D103" s="34" t="str">
        <x:v>Triana Espitia</x:v>
      </x:c>
      <x:c r="E103" s="34" t="str">
        <x:v>Administrador Fincas</x:v>
      </x:c>
      <x:c r="F103" s="37" t="n">
        <x:v>45078</x:v>
      </x:c>
      <x:c r="G103" s="35" t="str">
        <x:v>Activo</x:v>
      </x:c>
      <x:c r="H103" s="154" t="str">
        <x:v>Sin diligenciar</x:v>
      </x:c>
    </x:row>
    <x:row r="104" ht="20" customHeight="1">
      <x:c r="A104" s="35" t="str">
        <x:v>CC</x:v>
      </x:c>
      <x:c r="B104" s="36" t="str">
        <x:v>28105194</x:v>
      </x:c>
      <x:c r="C104" s="34" t="str">
        <x:v>Helida</x:v>
      </x:c>
      <x:c r="D104" s="34" t="str">
        <x:v>Villabona Rojas</x:v>
      </x:c>
      <x:c r="E104" s="34" t="str">
        <x:v>Clasificadora De Huevos</x:v>
      </x:c>
      <x:c r="F104" s="37" t="n">
        <x:v>45434</x:v>
      </x:c>
      <x:c r="G104" s="35" t="str">
        <x:v>Activo</x:v>
      </x:c>
      <x:c r="H104" s="154" t="str">
        <x:v>Sin diligenciar</x:v>
      </x:c>
    </x:row>
    <x:row r="105" ht="20" customHeight="1">
      <x:c r="A105" s="39" t="str">
        <x:v>CC</x:v>
      </x:c>
      <x:c r="B105" s="40" t="str">
        <x:v>1102355158</x:v>
      </x:c>
      <x:c r="C105" s="38" t="str">
        <x:v>Gioximar</x:v>
      </x:c>
      <x:c r="D105" s="38" t="str">
        <x:v>Villamizar Leal</x:v>
      </x:c>
      <x:c r="E105" s="38" t="str">
        <x:v>Galponero</x:v>
      </x:c>
      <x:c r="F105" s="41" t="n">
        <x:v>44974</x:v>
      </x:c>
      <x:c r="G105" s="39" t="str">
        <x:v>Activo</x:v>
      </x:c>
      <x:c r="H105" s="155" t="str">
        <x:v>Sin diligenciar</x:v>
      </x:c>
    </x:row>
    <x:row r="106">
      <x:c r="A106" s="42"/>
      <x:c r="B106" s="42"/>
      <x:c r="C106" s="42"/>
      <x:c r="D106" s="42"/>
      <x:c r="E106" s="42"/>
      <x:c r="F106" s="42"/>
      <x:c r="G106" s="42"/>
      <x:c r="H106" s="42"/>
    </x:row>
    <x:row r="107" ht="24" customHeight="1">
      <x:c r="A107" s="129" t="str">
        <x:f>"LOTE 2 VR · "&amp;COUNTIF('Base filtrable'!$A$5:$A$138,"Lote 2 Vr")&amp;" empleado(s) pendiente(s)"</x:f>
        <x:v>LOTE 2 VR · 5 empleado(s) pendiente(s)</x:v>
      </x:c>
      <x:c r="B107" s="130"/>
      <x:c r="C107" s="130"/>
      <x:c r="D107" s="130"/>
      <x:c r="E107" s="130"/>
      <x:c r="F107" s="130"/>
      <x:c r="G107" s="130"/>
      <x:c r="H107" s="131"/>
    </x:row>
    <x:row r="108" ht="27" customHeight="1">
      <x:c r="A108" s="142" t="str">
        <x:v>Tipo doc.</x:v>
      </x:c>
      <x:c r="B108" s="143" t="str">
        <x:v>Número de documento</x:v>
      </x:c>
      <x:c r="C108" s="143" t="str">
        <x:v>Nombres</x:v>
      </x:c>
      <x:c r="D108" s="143" t="str">
        <x:v>Apellidos</x:v>
      </x:c>
      <x:c r="E108" s="143" t="str">
        <x:v>Cargo actual</x:v>
      </x:c>
      <x:c r="F108" s="143" t="str">
        <x:v>Fecha de ingreso</x:v>
      </x:c>
      <x:c r="G108" s="143" t="str">
        <x:v>Estado</x:v>
      </x:c>
      <x:c r="H108" s="144" t="str">
        <x:v>Sexo</x:v>
      </x:c>
    </x:row>
    <x:row r="109" ht="20" customHeight="1">
      <x:c r="A109" s="31" t="str">
        <x:v>CC</x:v>
      </x:c>
      <x:c r="B109" s="32" t="str">
        <x:v>1098619184</x:v>
      </x:c>
      <x:c r="C109" s="30" t="str">
        <x:v>Hetor</x:v>
      </x:c>
      <x:c r="D109" s="30" t="str">
        <x:v>Calderon Salinas</x:v>
      </x:c>
      <x:c r="E109" s="30" t="str">
        <x:v>Galponero</x:v>
      </x:c>
      <x:c r="F109" s="33" t="n">
        <x:v>46143</x:v>
      </x:c>
      <x:c r="G109" s="31" t="str">
        <x:v>Activo</x:v>
      </x:c>
      <x:c r="H109" s="153" t="str">
        <x:v>Sin diligenciar</x:v>
      </x:c>
    </x:row>
    <x:row r="110" ht="20" customHeight="1">
      <x:c r="A110" s="35" t="str">
        <x:v>CC</x:v>
      </x:c>
      <x:c r="B110" s="36" t="str">
        <x:v>1102355861</x:v>
      </x:c>
      <x:c r="C110" s="34" t="str">
        <x:v>Carlos Andres</x:v>
      </x:c>
      <x:c r="D110" s="34" t="str">
        <x:v>Carrillo Mejia</x:v>
      </x:c>
      <x:c r="E110" s="34" t="str">
        <x:v>Galponero</x:v>
      </x:c>
      <x:c r="F110" s="37" t="n">
        <x:v>45813</x:v>
      </x:c>
      <x:c r="G110" s="35" t="str">
        <x:v>Activo</x:v>
      </x:c>
      <x:c r="H110" s="154" t="str">
        <x:v>Sin diligenciar</x:v>
      </x:c>
    </x:row>
    <x:row r="111" ht="20" customHeight="1">
      <x:c r="A111" s="35" t="str">
        <x:v>CC</x:v>
      </x:c>
      <x:c r="B111" s="36" t="str">
        <x:v>1102392169</x:v>
      </x:c>
      <x:c r="C111" s="34" t="str">
        <x:v>Juan Sebastian</x:v>
      </x:c>
      <x:c r="D111" s="34" t="str">
        <x:v>Hurtado Bueno</x:v>
      </x:c>
      <x:c r="E111" s="34" t="str">
        <x:v>Clasificadora De Huevos</x:v>
      </x:c>
      <x:c r="F111" s="37" t="n">
        <x:v>45170</x:v>
      </x:c>
      <x:c r="G111" s="35" t="str">
        <x:v>Activo</x:v>
      </x:c>
      <x:c r="H111" s="154" t="str">
        <x:v>Sin diligenciar</x:v>
      </x:c>
    </x:row>
    <x:row r="112" ht="20" customHeight="1">
      <x:c r="A112" s="35" t="str">
        <x:v>CC</x:v>
      </x:c>
      <x:c r="B112" s="36" t="str">
        <x:v>1102348513</x:v>
      </x:c>
      <x:c r="C112" s="34" t="str">
        <x:v>Alfonso</x:v>
      </x:c>
      <x:c r="D112" s="34" t="str">
        <x:v>Mejia Carvajal</x:v>
      </x:c>
      <x:c r="E112" s="34" t="str">
        <x:v>Galponero</x:v>
      </x:c>
      <x:c r="F112" s="37" t="n">
        <x:v>44677</x:v>
      </x:c>
      <x:c r="G112" s="35" t="str">
        <x:v>Activo</x:v>
      </x:c>
      <x:c r="H112" s="154" t="str">
        <x:v>Sin diligenciar</x:v>
      </x:c>
    </x:row>
    <x:row r="113" ht="20" customHeight="1">
      <x:c r="A113" s="39" t="str">
        <x:v>CC</x:v>
      </x:c>
      <x:c r="B113" s="40" t="str">
        <x:v>91451611</x:v>
      </x:c>
      <x:c r="C113" s="38" t="str">
        <x:v>Francisco</x:v>
      </x:c>
      <x:c r="D113" s="38" t="str">
        <x:v>Rodriguez Tarazona</x:v>
      </x:c>
      <x:c r="E113" s="38" t="str">
        <x:v>Galponero</x:v>
      </x:c>
      <x:c r="F113" s="41" t="n">
        <x:v>43853</x:v>
      </x:c>
      <x:c r="G113" s="39" t="str">
        <x:v>Activo</x:v>
      </x:c>
      <x:c r="H113" s="155" t="str">
        <x:v>Sin diligenciar</x:v>
      </x:c>
    </x:row>
    <x:row r="114">
      <x:c r="A114" s="42"/>
      <x:c r="B114" s="42"/>
      <x:c r="C114" s="42"/>
      <x:c r="D114" s="42"/>
      <x:c r="E114" s="42"/>
      <x:c r="F114" s="42"/>
      <x:c r="G114" s="42"/>
      <x:c r="H114" s="42"/>
    </x:row>
    <x:row r="115" ht="24" customHeight="1">
      <x:c r="A115" s="129" t="str">
        <x:f>"LOTE 3 VR · "&amp;COUNTIF('Base filtrable'!$A$5:$A$138,"Lote 3 Vr")&amp;" empleado(s) pendiente(s)"</x:f>
        <x:v>LOTE 3 VR · 1 empleado(s) pendiente(s)</x:v>
      </x:c>
      <x:c r="B115" s="130"/>
      <x:c r="C115" s="130"/>
      <x:c r="D115" s="130"/>
      <x:c r="E115" s="130"/>
      <x:c r="F115" s="130"/>
      <x:c r="G115" s="130"/>
      <x:c r="H115" s="131"/>
    </x:row>
    <x:row r="116" ht="27" customHeight="1">
      <x:c r="A116" s="142" t="str">
        <x:v>Tipo doc.</x:v>
      </x:c>
      <x:c r="B116" s="143" t="str">
        <x:v>Número de documento</x:v>
      </x:c>
      <x:c r="C116" s="143" t="str">
        <x:v>Nombres</x:v>
      </x:c>
      <x:c r="D116" s="143" t="str">
        <x:v>Apellidos</x:v>
      </x:c>
      <x:c r="E116" s="143" t="str">
        <x:v>Cargo actual</x:v>
      </x:c>
      <x:c r="F116" s="143" t="str">
        <x:v>Fecha de ingreso</x:v>
      </x:c>
      <x:c r="G116" s="143" t="str">
        <x:v>Estado</x:v>
      </x:c>
      <x:c r="H116" s="144" t="str">
        <x:v>Sexo</x:v>
      </x:c>
    </x:row>
    <x:row r="117" ht="20" customHeight="1">
      <x:c r="A117" s="6" t="str">
        <x:v>CC</x:v>
      </x:c>
      <x:c r="B117" s="7" t="str">
        <x:v>85476636</x:v>
      </x:c>
      <x:c r="C117" s="3" t="str">
        <x:v>Bernardo</x:v>
      </x:c>
      <x:c r="D117" s="3" t="str">
        <x:v>Torres Arellano</x:v>
      </x:c>
      <x:c r="E117" s="3" t="str">
        <x:v>Galponero</x:v>
      </x:c>
      <x:c r="F117" s="8" t="n">
        <x:v>44722</x:v>
      </x:c>
      <x:c r="G117" s="6" t="str">
        <x:v>Activo</x:v>
      </x:c>
      <x:c r="H117" s="146" t="str">
        <x:v>Sin diligenciar</x:v>
      </x:c>
    </x:row>
    <x:row r="118">
      <x:c r="A118" s="42"/>
      <x:c r="B118" s="42"/>
      <x:c r="C118" s="42"/>
      <x:c r="D118" s="42"/>
      <x:c r="E118" s="42"/>
      <x:c r="F118" s="42"/>
      <x:c r="G118" s="42"/>
      <x:c r="H118" s="42"/>
    </x:row>
    <x:row r="119" ht="24" customHeight="1">
      <x:c r="A119" s="129" t="str">
        <x:f>"LOTE 4 (LOTE 1 VR) · "&amp;COUNTIF('Base filtrable'!$A$5:$A$138,"Lote 4 (Lote 1 Vr)")&amp;" empleado(s) pendiente(s)"</x:f>
        <x:v>LOTE 4 (LOTE 1 VR) · 1 empleado(s) pendiente(s)</x:v>
      </x:c>
      <x:c r="B119" s="130"/>
      <x:c r="C119" s="130"/>
      <x:c r="D119" s="130"/>
      <x:c r="E119" s="130"/>
      <x:c r="F119" s="130"/>
      <x:c r="G119" s="130"/>
      <x:c r="H119" s="131"/>
    </x:row>
    <x:row r="120" ht="27" customHeight="1">
      <x:c r="A120" s="142" t="str">
        <x:v>Tipo doc.</x:v>
      </x:c>
      <x:c r="B120" s="143" t="str">
        <x:v>Número de documento</x:v>
      </x:c>
      <x:c r="C120" s="143" t="str">
        <x:v>Nombres</x:v>
      </x:c>
      <x:c r="D120" s="143" t="str">
        <x:v>Apellidos</x:v>
      </x:c>
      <x:c r="E120" s="143" t="str">
        <x:v>Cargo actual</x:v>
      </x:c>
      <x:c r="F120" s="143" t="str">
        <x:v>Fecha de ingreso</x:v>
      </x:c>
      <x:c r="G120" s="143" t="str">
        <x:v>Estado</x:v>
      </x:c>
      <x:c r="H120" s="144" t="str">
        <x:v>Sexo</x:v>
      </x:c>
    </x:row>
    <x:row r="121" ht="20" customHeight="1">
      <x:c r="A121" s="6" t="str">
        <x:v>CC</x:v>
      </x:c>
      <x:c r="B121" s="7" t="str">
        <x:v>1098261398</x:v>
      </x:c>
      <x:c r="C121" s="3" t="str">
        <x:v>Sandra Yolima</x:v>
      </x:c>
      <x:c r="D121" s="3" t="str">
        <x:v>Serrano Rueda</x:v>
      </x:c>
      <x:c r="E121" s="3" t="str">
        <x:v>Clasificadora De Huevos</x:v>
      </x:c>
      <x:c r="F121" s="8" t="n">
        <x:v>45496</x:v>
      </x:c>
      <x:c r="G121" s="6" t="str">
        <x:v>Activo</x:v>
      </x:c>
      <x:c r="H121" s="146" t="str">
        <x:v>Sin diligenciar</x:v>
      </x:c>
    </x:row>
    <x:row r="122">
      <x:c r="A122" s="42"/>
      <x:c r="B122" s="42"/>
      <x:c r="C122" s="42"/>
      <x:c r="D122" s="42"/>
      <x:c r="E122" s="42"/>
      <x:c r="F122" s="42"/>
      <x:c r="G122" s="42"/>
      <x:c r="H122" s="42"/>
    </x:row>
    <x:row r="123" ht="24" customHeight="1">
      <x:c r="A123" s="129" t="str">
        <x:f>"LOTE 4 PK · "&amp;COUNTIF('Base filtrable'!$A$5:$A$138,"Lote 4 Pk")&amp;" empleado(s) pendiente(s)"</x:f>
        <x:v>LOTE 4 PK · 7 empleado(s) pendiente(s)</x:v>
      </x:c>
      <x:c r="B123" s="130"/>
      <x:c r="C123" s="130"/>
      <x:c r="D123" s="130"/>
      <x:c r="E123" s="130"/>
      <x:c r="F123" s="130"/>
      <x:c r="G123" s="130"/>
      <x:c r="H123" s="131"/>
    </x:row>
    <x:row r="124" ht="27" customHeight="1">
      <x:c r="A124" s="142" t="str">
        <x:v>Tipo doc.</x:v>
      </x:c>
      <x:c r="B124" s="143" t="str">
        <x:v>Número de documento</x:v>
      </x:c>
      <x:c r="C124" s="143" t="str">
        <x:v>Nombres</x:v>
      </x:c>
      <x:c r="D124" s="143" t="str">
        <x:v>Apellidos</x:v>
      </x:c>
      <x:c r="E124" s="143" t="str">
        <x:v>Cargo actual</x:v>
      </x:c>
      <x:c r="F124" s="143" t="str">
        <x:v>Fecha de ingreso</x:v>
      </x:c>
      <x:c r="G124" s="143" t="str">
        <x:v>Estado</x:v>
      </x:c>
      <x:c r="H124" s="144" t="str">
        <x:v>Sexo</x:v>
      </x:c>
    </x:row>
    <x:row r="125" ht="20" customHeight="1">
      <x:c r="A125" s="31" t="str">
        <x:v>CC</x:v>
      </x:c>
      <x:c r="B125" s="32" t="str">
        <x:v>1102350618</x:v>
      </x:c>
      <x:c r="C125" s="30" t="str">
        <x:v>Ivan</x:v>
      </x:c>
      <x:c r="D125" s="30" t="str">
        <x:v>Araque Carrizalez</x:v>
      </x:c>
      <x:c r="E125" s="30" t="str">
        <x:v>Galponero</x:v>
      </x:c>
      <x:c r="F125" s="33" t="n">
        <x:v>45294</x:v>
      </x:c>
      <x:c r="G125" s="31" t="str">
        <x:v>Activo</x:v>
      </x:c>
      <x:c r="H125" s="153" t="str">
        <x:v>Sin diligenciar</x:v>
      </x:c>
    </x:row>
    <x:row r="126" ht="20" customHeight="1">
      <x:c r="A126" s="35" t="str">
        <x:v>CC</x:v>
      </x:c>
      <x:c r="B126" s="36" t="str">
        <x:v>13929325</x:v>
      </x:c>
      <x:c r="C126" s="34" t="str">
        <x:v>Nelson Daniel</x:v>
      </x:c>
      <x:c r="D126" s="34" t="str">
        <x:v>Archila Rincon</x:v>
      </x:c>
      <x:c r="E126" s="34" t="str">
        <x:v>Galponero</x:v>
      </x:c>
      <x:c r="F126" s="37" t="n">
        <x:v>44842</x:v>
      </x:c>
      <x:c r="G126" s="35" t="str">
        <x:v>Activo</x:v>
      </x:c>
      <x:c r="H126" s="154" t="str">
        <x:v>Sin diligenciar</x:v>
      </x:c>
    </x:row>
    <x:row r="127" ht="20" customHeight="1">
      <x:c r="A127" s="35" t="str">
        <x:v>CC</x:v>
      </x:c>
      <x:c r="B127" s="36" t="str">
        <x:v>1079914995</x:v>
      </x:c>
      <x:c r="C127" s="34" t="str">
        <x:v>Jairo Segundo</x:v>
      </x:c>
      <x:c r="D127" s="34" t="str">
        <x:v>Caballero Guerrero</x:v>
      </x:c>
      <x:c r="E127" s="34" t="str">
        <x:v>Galponero</x:v>
      </x:c>
      <x:c r="F127" s="37" t="n">
        <x:v>46017</x:v>
      </x:c>
      <x:c r="G127" s="35" t="str">
        <x:v>Activo</x:v>
      </x:c>
      <x:c r="H127" s="154" t="str">
        <x:v>Sin diligenciar</x:v>
      </x:c>
    </x:row>
    <x:row r="128" ht="20" customHeight="1">
      <x:c r="A128" s="35" t="str">
        <x:v>CC</x:v>
      </x:c>
      <x:c r="B128" s="36" t="str">
        <x:v>1061988907</x:v>
      </x:c>
      <x:c r="C128" s="34" t="str">
        <x:v>Maria Alejandra</x:v>
      </x:c>
      <x:c r="D128" s="34" t="str">
        <x:v>Gaviria Ruiz</x:v>
      </x:c>
      <x:c r="E128" s="34" t="str">
        <x:v>Clasificadora De Huevos</x:v>
      </x:c>
      <x:c r="F128" s="37" t="n">
        <x:v>46101</x:v>
      </x:c>
      <x:c r="G128" s="35" t="str">
        <x:v>Activo</x:v>
      </x:c>
      <x:c r="H128" s="154" t="str">
        <x:v>Sin diligenciar</x:v>
      </x:c>
    </x:row>
    <x:row r="129" ht="20" customHeight="1">
      <x:c r="A129" s="35" t="str">
        <x:v>CC</x:v>
      </x:c>
      <x:c r="B129" s="36" t="str">
        <x:v>1102354275</x:v>
      </x:c>
      <x:c r="C129" s="34" t="str">
        <x:v>Carlos Humberto</x:v>
      </x:c>
      <x:c r="D129" s="34" t="str">
        <x:v>Osorio Hernandez</x:v>
      </x:c>
      <x:c r="E129" s="34" t="str">
        <x:v>Galponero</x:v>
      </x:c>
      <x:c r="F129" s="37" t="n">
        <x:v>44314</x:v>
      </x:c>
      <x:c r="G129" s="35" t="str">
        <x:v>Activo</x:v>
      </x:c>
      <x:c r="H129" s="154" t="str">
        <x:v>Sin diligenciar</x:v>
      </x:c>
    </x:row>
    <x:row r="130" ht="20" customHeight="1">
      <x:c r="A130" s="35" t="str">
        <x:v>CC</x:v>
      </x:c>
      <x:c r="B130" s="36" t="str">
        <x:v>5795493</x:v>
      </x:c>
      <x:c r="C130" s="34" t="str">
        <x:v>Luis Jesus</x:v>
      </x:c>
      <x:c r="D130" s="34" t="str">
        <x:v>Serrano Gomez</x:v>
      </x:c>
      <x:c r="E130" s="34" t="str">
        <x:v>Galponero</x:v>
      </x:c>
      <x:c r="F130" s="37" t="n">
        <x:v>41817</x:v>
      </x:c>
      <x:c r="G130" s="35" t="str">
        <x:v>Activo</x:v>
      </x:c>
      <x:c r="H130" s="154" t="str">
        <x:v>Sin diligenciar</x:v>
      </x:c>
    </x:row>
    <x:row r="131" ht="20" customHeight="1">
      <x:c r="A131" s="39" t="str">
        <x:v>CC</x:v>
      </x:c>
      <x:c r="B131" s="40" t="str">
        <x:v>1110172761</x:v>
      </x:c>
      <x:c r="C131" s="38" t="str">
        <x:v>Anderson</x:v>
      </x:c>
      <x:c r="D131" s="38" t="str">
        <x:v>Vaquiro Aroca</x:v>
      </x:c>
      <x:c r="E131" s="38" t="str">
        <x:v>Galponero</x:v>
      </x:c>
      <x:c r="F131" s="41" t="n">
        <x:v>44963</x:v>
      </x:c>
      <x:c r="G131" s="39" t="str">
        <x:v>Activo</x:v>
      </x:c>
      <x:c r="H131" s="155" t="str">
        <x:v>Sin diligenciar</x:v>
      </x:c>
    </x:row>
    <x:row r="132">
      <x:c r="A132" s="42"/>
      <x:c r="B132" s="42"/>
      <x:c r="C132" s="42"/>
      <x:c r="D132" s="42"/>
      <x:c r="E132" s="42"/>
      <x:c r="F132" s="42"/>
      <x:c r="G132" s="42"/>
      <x:c r="H132" s="42"/>
    </x:row>
    <x:row r="133" ht="24" customHeight="1">
      <x:c r="A133" s="129" t="str">
        <x:f>"LOTE 5 (LOTE 4 PK) · "&amp;COUNTIF('Base filtrable'!$A$5:$A$138,"Lote 5 (Lote 4 Pk)")&amp;" empleado(s) pendiente(s)"</x:f>
        <x:v>LOTE 5 (LOTE 4 PK) · 1 empleado(s) pendiente(s)</x:v>
      </x:c>
      <x:c r="B133" s="130"/>
      <x:c r="C133" s="130"/>
      <x:c r="D133" s="130"/>
      <x:c r="E133" s="130"/>
      <x:c r="F133" s="130"/>
      <x:c r="G133" s="130"/>
      <x:c r="H133" s="131"/>
    </x:row>
    <x:row r="134" ht="27" customHeight="1">
      <x:c r="A134" s="142" t="str">
        <x:v>Tipo doc.</x:v>
      </x:c>
      <x:c r="B134" s="143" t="str">
        <x:v>Número de documento</x:v>
      </x:c>
      <x:c r="C134" s="143" t="str">
        <x:v>Nombres</x:v>
      </x:c>
      <x:c r="D134" s="143" t="str">
        <x:v>Apellidos</x:v>
      </x:c>
      <x:c r="E134" s="143" t="str">
        <x:v>Cargo actual</x:v>
      </x:c>
      <x:c r="F134" s="143" t="str">
        <x:v>Fecha de ingreso</x:v>
      </x:c>
      <x:c r="G134" s="143" t="str">
        <x:v>Estado</x:v>
      </x:c>
      <x:c r="H134" s="144" t="str">
        <x:v>Sexo</x:v>
      </x:c>
    </x:row>
    <x:row r="135" ht="20" customHeight="1">
      <x:c r="A135" s="6" t="str">
        <x:v>CC</x:v>
      </x:c>
      <x:c r="B135" s="7" t="str">
        <x:v>1148199473</x:v>
      </x:c>
      <x:c r="C135" s="3" t="str">
        <x:v>Jose David</x:v>
      </x:c>
      <x:c r="D135" s="3" t="str">
        <x:v>Orozco Gamarra</x:v>
      </x:c>
      <x:c r="E135" s="3" t="str">
        <x:v>Galponero</x:v>
      </x:c>
      <x:c r="F135" s="8" t="n">
        <x:v>45666</x:v>
      </x:c>
      <x:c r="G135" s="6" t="str">
        <x:v>Activo</x:v>
      </x:c>
      <x:c r="H135" s="146" t="str">
        <x:v>Sin diligenciar</x:v>
      </x:c>
    </x:row>
    <x:row r="136">
      <x:c r="A136" s="42"/>
      <x:c r="B136" s="42"/>
      <x:c r="C136" s="42"/>
      <x:c r="D136" s="42"/>
      <x:c r="E136" s="42"/>
      <x:c r="F136" s="42"/>
      <x:c r="G136" s="42"/>
      <x:c r="H136" s="42"/>
    </x:row>
    <x:row r="137" ht="24" customHeight="1">
      <x:c r="A137" s="129" t="str">
        <x:f>"LOTE 5 PK · "&amp;COUNTIF('Base filtrable'!$A$5:$A$138,"Lote 5 Pk")&amp;" empleado(s) pendiente(s)"</x:f>
        <x:v>LOTE 5 PK · 2 empleado(s) pendiente(s)</x:v>
      </x:c>
      <x:c r="B137" s="130"/>
      <x:c r="C137" s="130"/>
      <x:c r="D137" s="130"/>
      <x:c r="E137" s="130"/>
      <x:c r="F137" s="130"/>
      <x:c r="G137" s="130"/>
      <x:c r="H137" s="131"/>
    </x:row>
    <x:row r="138" ht="27" customHeight="1">
      <x:c r="A138" s="142" t="str">
        <x:v>Tipo doc.</x:v>
      </x:c>
      <x:c r="B138" s="143" t="str">
        <x:v>Número de documento</x:v>
      </x:c>
      <x:c r="C138" s="143" t="str">
        <x:v>Nombres</x:v>
      </x:c>
      <x:c r="D138" s="143" t="str">
        <x:v>Apellidos</x:v>
      </x:c>
      <x:c r="E138" s="143" t="str">
        <x:v>Cargo actual</x:v>
      </x:c>
      <x:c r="F138" s="143" t="str">
        <x:v>Fecha de ingreso</x:v>
      </x:c>
      <x:c r="G138" s="143" t="str">
        <x:v>Estado</x:v>
      </x:c>
      <x:c r="H138" s="144" t="str">
        <x:v>Sexo</x:v>
      </x:c>
    </x:row>
    <x:row r="139" ht="20" customHeight="1">
      <x:c r="A139" s="31" t="str">
        <x:v>CC</x:v>
      </x:c>
      <x:c r="B139" s="32" t="str">
        <x:v>91355981</x:v>
      </x:c>
      <x:c r="C139" s="30" t="str">
        <x:v>Oscar Iban</x:v>
      </x:c>
      <x:c r="D139" s="30" t="str">
        <x:v>Almeida Moreno</x:v>
      </x:c>
      <x:c r="E139" s="30" t="str">
        <x:v>Galponero</x:v>
      </x:c>
      <x:c r="F139" s="33" t="n">
        <x:v>45017</x:v>
      </x:c>
      <x:c r="G139" s="31" t="str">
        <x:v>Activo</x:v>
      </x:c>
      <x:c r="H139" s="153" t="str">
        <x:v>Sin diligenciar</x:v>
      </x:c>
    </x:row>
    <x:row r="140" ht="20" customHeight="1">
      <x:c r="A140" s="39" t="str">
        <x:v>CC</x:v>
      </x:c>
      <x:c r="B140" s="40" t="str">
        <x:v>91459009</x:v>
      </x:c>
      <x:c r="C140" s="38" t="str">
        <x:v>German Augusto</x:v>
      </x:c>
      <x:c r="D140" s="38" t="str">
        <x:v>Cabrera Osorio</x:v>
      </x:c>
      <x:c r="E140" s="38" t="str">
        <x:v>Galponero</x:v>
      </x:c>
      <x:c r="F140" s="41" t="n">
        <x:v>44502</x:v>
      </x:c>
      <x:c r="G140" s="39" t="str">
        <x:v>Activo</x:v>
      </x:c>
      <x:c r="H140" s="155" t="str">
        <x:v>Sin diligenciar</x:v>
      </x:c>
    </x:row>
    <x:row r="141">
      <x:c r="A141" s="42"/>
      <x:c r="B141" s="42"/>
      <x:c r="C141" s="42"/>
      <x:c r="D141" s="42"/>
      <x:c r="E141" s="42"/>
      <x:c r="F141" s="42"/>
      <x:c r="G141" s="42"/>
      <x:c r="H141" s="42"/>
    </x:row>
    <x:row r="142" ht="24" customHeight="1">
      <x:c r="A142" s="129" t="str">
        <x:f>"LOTE LEVANTE · "&amp;COUNTIF('Base filtrable'!$A$5:$A$138,"Lote Levante")&amp;" empleado(s) pendiente(s)"</x:f>
        <x:v>LOTE LEVANTE · 1 empleado(s) pendiente(s)</x:v>
      </x:c>
      <x:c r="B142" s="130"/>
      <x:c r="C142" s="130"/>
      <x:c r="D142" s="130"/>
      <x:c r="E142" s="130"/>
      <x:c r="F142" s="130"/>
      <x:c r="G142" s="130"/>
      <x:c r="H142" s="131"/>
    </x:row>
    <x:row r="143" ht="27" customHeight="1">
      <x:c r="A143" s="142" t="str">
        <x:v>Tipo doc.</x:v>
      </x:c>
      <x:c r="B143" s="143" t="str">
        <x:v>Número de documento</x:v>
      </x:c>
      <x:c r="C143" s="143" t="str">
        <x:v>Nombres</x:v>
      </x:c>
      <x:c r="D143" s="143" t="str">
        <x:v>Apellidos</x:v>
      </x:c>
      <x:c r="E143" s="143" t="str">
        <x:v>Cargo actual</x:v>
      </x:c>
      <x:c r="F143" s="143" t="str">
        <x:v>Fecha de ingreso</x:v>
      </x:c>
      <x:c r="G143" s="143" t="str">
        <x:v>Estado</x:v>
      </x:c>
      <x:c r="H143" s="144" t="str">
        <x:v>Sexo</x:v>
      </x:c>
    </x:row>
    <x:row r="144" ht="20" customHeight="1">
      <x:c r="A144" s="6" t="str">
        <x:v>CC</x:v>
      </x:c>
      <x:c r="B144" s="7" t="str">
        <x:v>91457228</x:v>
      </x:c>
      <x:c r="C144" s="3" t="str">
        <x:v>Efrain</x:v>
      </x:c>
      <x:c r="D144" s="3" t="str">
        <x:v>Cabrera Osorio</x:v>
      </x:c>
      <x:c r="E144" s="3" t="str">
        <x:v>Galponero</x:v>
      </x:c>
      <x:c r="F144" s="8" t="n">
        <x:v>44265</x:v>
      </x:c>
      <x:c r="G144" s="6" t="str">
        <x:v>Activo</x:v>
      </x:c>
      <x:c r="H144" s="146" t="str">
        <x:v>Sin diligenciar</x:v>
      </x:c>
    </x:row>
    <x:row r="145">
      <x:c r="A145" s="42"/>
      <x:c r="B145" s="42"/>
      <x:c r="C145" s="42"/>
      <x:c r="D145" s="42"/>
      <x:c r="E145" s="42"/>
      <x:c r="F145" s="42"/>
      <x:c r="G145" s="42"/>
      <x:c r="H145" s="42"/>
    </x:row>
    <x:row r="146" ht="24" customHeight="1">
      <x:c r="A146" s="129" t="str">
        <x:f>"MAC POLLO · "&amp;COUNTIF('Base filtrable'!$A$5:$A$138,"Mac Pollo")&amp;" empleado(s) pendiente(s)"</x:f>
        <x:v>MAC POLLO · 3 empleado(s) pendiente(s)</x:v>
      </x:c>
      <x:c r="B146" s="130"/>
      <x:c r="C146" s="130"/>
      <x:c r="D146" s="130"/>
      <x:c r="E146" s="130"/>
      <x:c r="F146" s="130"/>
      <x:c r="G146" s="130"/>
      <x:c r="H146" s="131"/>
    </x:row>
    <x:row r="147" ht="27" customHeight="1">
      <x:c r="A147" s="142" t="str">
        <x:v>Tipo doc.</x:v>
      </x:c>
      <x:c r="B147" s="143" t="str">
        <x:v>Número de documento</x:v>
      </x:c>
      <x:c r="C147" s="143" t="str">
        <x:v>Nombres</x:v>
      </x:c>
      <x:c r="D147" s="143" t="str">
        <x:v>Apellidos</x:v>
      </x:c>
      <x:c r="E147" s="143" t="str">
        <x:v>Cargo actual</x:v>
      </x:c>
      <x:c r="F147" s="143" t="str">
        <x:v>Fecha de ingreso</x:v>
      </x:c>
      <x:c r="G147" s="143" t="str">
        <x:v>Estado</x:v>
      </x:c>
      <x:c r="H147" s="144" t="str">
        <x:v>Sexo</x:v>
      </x:c>
    </x:row>
    <x:row r="148" ht="20" customHeight="1">
      <x:c r="A148" s="31" t="str">
        <x:v>CC</x:v>
      </x:c>
      <x:c r="B148" s="32" t="str">
        <x:v>1005448189</x:v>
      </x:c>
      <x:c r="C148" s="30" t="str">
        <x:v>Ailyn Yurany</x:v>
      </x:c>
      <x:c r="D148" s="30" t="str">
        <x:v>Pava Rodriguez</x:v>
      </x:c>
      <x:c r="E148" s="30" t="str">
        <x:v>Auxiliar De Cafeteria</x:v>
      </x:c>
      <x:c r="F148" s="33" t="n">
        <x:v>46128</x:v>
      </x:c>
      <x:c r="G148" s="31" t="str">
        <x:v>Activo</x:v>
      </x:c>
      <x:c r="H148" s="153" t="str">
        <x:v>Sin diligenciar</x:v>
      </x:c>
    </x:row>
    <x:row r="149" ht="20" customHeight="1">
      <x:c r="A149" s="35" t="str">
        <x:v>CC</x:v>
      </x:c>
      <x:c r="B149" s="36" t="str">
        <x:v>63524954</x:v>
      </x:c>
      <x:c r="C149" s="34" t="str">
        <x:v>Blanca Lucely</x:v>
      </x:c>
      <x:c r="D149" s="34" t="str">
        <x:v>Ramirez Rojas</x:v>
      </x:c>
      <x:c r="E149" s="34" t="str">
        <x:v>Auxiliar De Cafeteria</x:v>
      </x:c>
      <x:c r="F149" s="37" t="n">
        <x:v>46064</x:v>
      </x:c>
      <x:c r="G149" s="35" t="str">
        <x:v>Activo</x:v>
      </x:c>
      <x:c r="H149" s="154" t="str">
        <x:v>Sin diligenciar</x:v>
      </x:c>
    </x:row>
    <x:row r="150" ht="20" customHeight="1">
      <x:c r="A150" s="39" t="str">
        <x:v>CC</x:v>
      </x:c>
      <x:c r="B150" s="40" t="str">
        <x:v>1000150704</x:v>
      </x:c>
      <x:c r="C150" s="38" t="str">
        <x:v>Maria Camila</x:v>
      </x:c>
      <x:c r="D150" s="38" t="str">
        <x:v>Zambrano Arias</x:v>
      </x:c>
      <x:c r="E150" s="38" t="str">
        <x:v>Auxiliar De Cafeteria</x:v>
      </x:c>
      <x:c r="F150" s="41" t="n">
        <x:v>46064</x:v>
      </x:c>
      <x:c r="G150" s="39" t="str">
        <x:v>Activo</x:v>
      </x:c>
      <x:c r="H150" s="155" t="str">
        <x:v>Sin diligenciar</x:v>
      </x:c>
    </x:row>
    <x:row r="151">
      <x:c r="A151" s="42"/>
      <x:c r="B151" s="42"/>
      <x:c r="C151" s="42"/>
      <x:c r="D151" s="42"/>
      <x:c r="E151" s="42"/>
      <x:c r="F151" s="42"/>
      <x:c r="G151" s="42"/>
      <x:c r="H151" s="42"/>
    </x:row>
    <x:row r="152" ht="24" customHeight="1">
      <x:c r="A152" s="129" t="str">
        <x:f>"NEXANS · "&amp;COUNTIF('Base filtrable'!$A$5:$A$138,"Nexans")&amp;" empleado(s) pendiente(s)"</x:f>
        <x:v>NEXANS · 2 empleado(s) pendiente(s)</x:v>
      </x:c>
      <x:c r="B152" s="130"/>
      <x:c r="C152" s="130"/>
      <x:c r="D152" s="130"/>
      <x:c r="E152" s="130"/>
      <x:c r="F152" s="130"/>
      <x:c r="G152" s="130"/>
      <x:c r="H152" s="131"/>
    </x:row>
    <x:row r="153" ht="27" customHeight="1">
      <x:c r="A153" s="142" t="str">
        <x:v>Tipo doc.</x:v>
      </x:c>
      <x:c r="B153" s="143" t="str">
        <x:v>Número de documento</x:v>
      </x:c>
      <x:c r="C153" s="143" t="str">
        <x:v>Nombres</x:v>
      </x:c>
      <x:c r="D153" s="143" t="str">
        <x:v>Apellidos</x:v>
      </x:c>
      <x:c r="E153" s="143" t="str">
        <x:v>Cargo actual</x:v>
      </x:c>
      <x:c r="F153" s="143" t="str">
        <x:v>Fecha de ingreso</x:v>
      </x:c>
      <x:c r="G153" s="143" t="str">
        <x:v>Estado</x:v>
      </x:c>
      <x:c r="H153" s="144" t="str">
        <x:v>Sexo</x:v>
      </x:c>
    </x:row>
    <x:row r="154" ht="20" customHeight="1">
      <x:c r="A154" s="31" t="str">
        <x:v>CC</x:v>
      </x:c>
      <x:c r="B154" s="32" t="str">
        <x:v>1042436886</x:v>
      </x:c>
      <x:c r="C154" s="30" t="str">
        <x:v>Fabian Alexis</x:v>
      </x:c>
      <x:c r="D154" s="30" t="str">
        <x:v>Gomez Duque</x:v>
      </x:c>
      <x:c r="E154" s="30" t="str">
        <x:v>Conductor</x:v>
      </x:c>
      <x:c r="F154" s="33" t="n">
        <x:v>44734</x:v>
      </x:c>
      <x:c r="G154" s="31" t="str">
        <x:v>Activo</x:v>
      </x:c>
      <x:c r="H154" s="153" t="str">
        <x:v>Sin diligenciar</x:v>
      </x:c>
    </x:row>
    <x:row r="155" ht="20" customHeight="1">
      <x:c r="A155" s="39" t="str">
        <x:v>CC</x:v>
      </x:c>
      <x:c r="B155" s="40" t="str">
        <x:v>1095944363</x:v>
      </x:c>
      <x:c r="C155" s="38" t="str">
        <x:v>Marisol</x:v>
      </x:c>
      <x:c r="D155" s="38" t="str">
        <x:v>Rangel Bohorquez</x:v>
      </x:c>
      <x:c r="E155" s="38" t="str">
        <x:v>Auxiliar De Servicios Generales</x:v>
      </x:c>
      <x:c r="F155" s="41" t="n">
        <x:v>45397</x:v>
      </x:c>
      <x:c r="G155" s="39" t="str">
        <x:v>Activo</x:v>
      </x:c>
      <x:c r="H155" s="155" t="str">
        <x:v>Sin diligenciar</x:v>
      </x:c>
    </x:row>
    <x:row r="156">
      <x:c r="A156" s="42"/>
      <x:c r="B156" s="42"/>
      <x:c r="C156" s="42"/>
      <x:c r="D156" s="42"/>
      <x:c r="E156" s="42"/>
      <x:c r="F156" s="42"/>
      <x:c r="G156" s="42"/>
      <x:c r="H156" s="42"/>
    </x:row>
    <x:row r="157" ht="24" customHeight="1">
      <x:c r="A157" s="129" t="str">
        <x:f>"OXY LA CIRA · "&amp;COUNTIF('Base filtrable'!$A$5:$A$138,"Oxy La Cira")&amp;" empleado(s) pendiente(s)"</x:f>
        <x:v>OXY LA CIRA · 3 empleado(s) pendiente(s)</x:v>
      </x:c>
      <x:c r="B157" s="130"/>
      <x:c r="C157" s="130"/>
      <x:c r="D157" s="130"/>
      <x:c r="E157" s="130"/>
      <x:c r="F157" s="130"/>
      <x:c r="G157" s="130"/>
      <x:c r="H157" s="131"/>
    </x:row>
    <x:row r="158" ht="27" customHeight="1">
      <x:c r="A158" s="142" t="str">
        <x:v>Tipo doc.</x:v>
      </x:c>
      <x:c r="B158" s="143" t="str">
        <x:v>Número de documento</x:v>
      </x:c>
      <x:c r="C158" s="143" t="str">
        <x:v>Nombres</x:v>
      </x:c>
      <x:c r="D158" s="143" t="str">
        <x:v>Apellidos</x:v>
      </x:c>
      <x:c r="E158" s="143" t="str">
        <x:v>Cargo actual</x:v>
      </x:c>
      <x:c r="F158" s="143" t="str">
        <x:v>Fecha de ingreso</x:v>
      </x:c>
      <x:c r="G158" s="143" t="str">
        <x:v>Estado</x:v>
      </x:c>
      <x:c r="H158" s="144" t="str">
        <x:v>Sexo</x:v>
      </x:c>
    </x:row>
    <x:row r="159" ht="20" customHeight="1">
      <x:c r="A159" s="31" t="str">
        <x:v>CC</x:v>
      </x:c>
      <x:c r="B159" s="32" t="str">
        <x:v>37580161</x:v>
      </x:c>
      <x:c r="C159" s="30" t="str">
        <x:v>Claudia Patricia</x:v>
      </x:c>
      <x:c r="D159" s="30" t="str">
        <x:v>Burgos Vasquez</x:v>
      </x:c>
      <x:c r="E159" s="30" t="str">
        <x:v>Auxiliar De Cocina</x:v>
      </x:c>
      <x:c r="F159" s="33" t="n">
        <x:v>46029</x:v>
      </x:c>
      <x:c r="G159" s="31" t="str">
        <x:v>Activo</x:v>
      </x:c>
      <x:c r="H159" s="153" t="str">
        <x:v>Sin diligenciar</x:v>
      </x:c>
    </x:row>
    <x:row r="160" ht="20" customHeight="1">
      <x:c r="A160" s="35" t="str">
        <x:v>CC</x:v>
      </x:c>
      <x:c r="B160" s="36" t="str">
        <x:v>1098220868</x:v>
      </x:c>
      <x:c r="C160" s="34" t="str">
        <x:v>Luis David</x:v>
      </x:c>
      <x:c r="D160" s="34" t="str">
        <x:v>Jerez Pena</x:v>
      </x:c>
      <x:c r="E160" s="34" t="str">
        <x:v>Chef Relevante</x:v>
      </x:c>
      <x:c r="F160" s="37" t="n">
        <x:v>43661</x:v>
      </x:c>
      <x:c r="G160" s="35" t="str">
        <x:v>Activo</x:v>
      </x:c>
      <x:c r="H160" s="154" t="str">
        <x:v>Sin diligenciar</x:v>
      </x:c>
    </x:row>
    <x:row r="161" ht="20" customHeight="1">
      <x:c r="A161" s="39" t="str">
        <x:v>CC</x:v>
      </x:c>
      <x:c r="B161" s="40" t="str">
        <x:v>28070442</x:v>
      </x:c>
      <x:c r="C161" s="38" t="str">
        <x:v>Martha</x:v>
      </x:c>
      <x:c r="D161" s="38" t="str">
        <x:v>Pimentel Quiroga</x:v>
      </x:c>
      <x:c r="E161" s="38" t="str">
        <x:v>Auxiliar De Cocina</x:v>
      </x:c>
      <x:c r="F161" s="41" t="n">
        <x:v>44196</x:v>
      </x:c>
      <x:c r="G161" s="39" t="str">
        <x:v>Activo</x:v>
      </x:c>
      <x:c r="H161" s="155" t="str">
        <x:v>Sin diligenciar</x:v>
      </x:c>
    </x:row>
    <x:row r="162">
      <x:c r="A162" s="42"/>
      <x:c r="B162" s="42"/>
      <x:c r="C162" s="42"/>
      <x:c r="D162" s="42"/>
      <x:c r="E162" s="42"/>
      <x:c r="F162" s="42"/>
      <x:c r="G162" s="42"/>
      <x:c r="H162" s="42"/>
    </x:row>
    <x:row r="163" ht="24" customHeight="1">
      <x:c r="A163" s="129" t="str">
        <x:f>"PALMAS · "&amp;COUNTIF('Base filtrable'!$A$5:$A$138,"Palmas")&amp;" empleado(s) pendiente(s)"</x:f>
        <x:v>PALMAS · 9 empleado(s) pendiente(s)</x:v>
      </x:c>
      <x:c r="B163" s="130"/>
      <x:c r="C163" s="130"/>
      <x:c r="D163" s="130"/>
      <x:c r="E163" s="130"/>
      <x:c r="F163" s="130"/>
      <x:c r="G163" s="130"/>
      <x:c r="H163" s="131"/>
    </x:row>
    <x:row r="164" ht="27" customHeight="1">
      <x:c r="A164" s="142" t="str">
        <x:v>Tipo doc.</x:v>
      </x:c>
      <x:c r="B164" s="143" t="str">
        <x:v>Número de documento</x:v>
      </x:c>
      <x:c r="C164" s="143" t="str">
        <x:v>Nombres</x:v>
      </x:c>
      <x:c r="D164" s="143" t="str">
        <x:v>Apellidos</x:v>
      </x:c>
      <x:c r="E164" s="143" t="str">
        <x:v>Cargo actual</x:v>
      </x:c>
      <x:c r="F164" s="143" t="str">
        <x:v>Fecha de ingreso</x:v>
      </x:c>
      <x:c r="G164" s="143" t="str">
        <x:v>Estado</x:v>
      </x:c>
      <x:c r="H164" s="144" t="str">
        <x:v>Sexo</x:v>
      </x:c>
    </x:row>
    <x:row r="165" ht="20" customHeight="1">
      <x:c r="A165" s="31" t="str">
        <x:v>CC</x:v>
      </x:c>
      <x:c r="B165" s="32" t="str">
        <x:v>1003091379</x:v>
      </x:c>
      <x:c r="C165" s="30" t="str">
        <x:v>Narlys Adriana</x:v>
      </x:c>
      <x:c r="D165" s="30" t="str">
        <x:v>Ballesteros Carmona</x:v>
      </x:c>
      <x:c r="E165" s="30" t="str">
        <x:v>Auxiliar De Cocina</x:v>
      </x:c>
      <x:c r="F165" s="33" t="n">
        <x:v>46078</x:v>
      </x:c>
      <x:c r="G165" s="31" t="str">
        <x:v>Activo</x:v>
      </x:c>
      <x:c r="H165" s="153" t="str">
        <x:v>Sin diligenciar</x:v>
      </x:c>
    </x:row>
    <x:row r="166" ht="20" customHeight="1">
      <x:c r="A166" s="35" t="str">
        <x:v>CC</x:v>
      </x:c>
      <x:c r="B166" s="36" t="str">
        <x:v>1091678380</x:v>
      </x:c>
      <x:c r="C166" s="34" t="str">
        <x:v>Linsey Dayana</x:v>
      </x:c>
      <x:c r="D166" s="34" t="str">
        <x:v>Beltran Grismaldo</x:v>
      </x:c>
      <x:c r="E166" s="34" t="str">
        <x:v>Auxiliar De Servicios Generales</x:v>
      </x:c>
      <x:c r="F166" s="37" t="n">
        <x:v>44257</x:v>
      </x:c>
      <x:c r="G166" s="35" t="str">
        <x:v>Activo</x:v>
      </x:c>
      <x:c r="H166" s="154" t="str">
        <x:v>Sin diligenciar</x:v>
      </x:c>
    </x:row>
    <x:row r="167" ht="20" customHeight="1">
      <x:c r="A167" s="35" t="str">
        <x:v>CC</x:v>
      </x:c>
      <x:c r="B167" s="36" t="str">
        <x:v>1065237466</x:v>
      </x:c>
      <x:c r="C167" s="34" t="str">
        <x:v>Luz Dary</x:v>
      </x:c>
      <x:c r="D167" s="34" t="str">
        <x:v>Carmona Ramirez</x:v>
      </x:c>
      <x:c r="E167" s="34" t="str">
        <x:v>Auxiliar De Cocina</x:v>
      </x:c>
      <x:c r="F167" s="37" t="n">
        <x:v>46118</x:v>
      </x:c>
      <x:c r="G167" s="35" t="str">
        <x:v>Activo</x:v>
      </x:c>
      <x:c r="H167" s="154" t="str">
        <x:v>Sin diligenciar</x:v>
      </x:c>
    </x:row>
    <x:row r="168" ht="20" customHeight="1">
      <x:c r="A168" s="35" t="str">
        <x:v>CC</x:v>
      </x:c>
      <x:c r="B168" s="36" t="str">
        <x:v>85476893</x:v>
      </x:c>
      <x:c r="C168" s="34" t="str">
        <x:v>Manuel Agapito</x:v>
      </x:c>
      <x:c r="D168" s="34" t="str">
        <x:v>Guerrero Rivera</x:v>
      </x:c>
      <x:c r="E168" s="34" t="str">
        <x:v>Supervisor De Campo</x:v>
      </x:c>
      <x:c r="F168" s="37" t="n">
        <x:v>45054</x:v>
      </x:c>
      <x:c r="G168" s="35" t="str">
        <x:v>Activo</x:v>
      </x:c>
      <x:c r="H168" s="154" t="str">
        <x:v>Sin diligenciar</x:v>
      </x:c>
    </x:row>
    <x:row r="169" ht="20" customHeight="1">
      <x:c r="A169" s="35" t="str">
        <x:v>CC</x:v>
      </x:c>
      <x:c r="B169" s="36" t="str">
        <x:v>91002571</x:v>
      </x:c>
      <x:c r="C169" s="34" t="str">
        <x:v>Pedro Pablo</x:v>
      </x:c>
      <x:c r="D169" s="34" t="str">
        <x:v>Orduz Rodriguez</x:v>
      </x:c>
      <x:c r="E169" s="34" t="str">
        <x:v>Cocinero 1</x:v>
      </x:c>
      <x:c r="F169" s="37" t="n">
        <x:v>42303</x:v>
      </x:c>
      <x:c r="G169" s="35" t="str">
        <x:v>Activo</x:v>
      </x:c>
      <x:c r="H169" s="154" t="str">
        <x:v>Sin diligenciar</x:v>
      </x:c>
    </x:row>
    <x:row r="170" ht="20" customHeight="1">
      <x:c r="A170" s="35" t="str">
        <x:v>CC</x:v>
      </x:c>
      <x:c r="B170" s="36" t="str">
        <x:v>42447807</x:v>
      </x:c>
      <x:c r="C170" s="34" t="str">
        <x:v>Esmith</x:v>
      </x:c>
      <x:c r="D170" s="34" t="str">
        <x:v>Perez Bermudez</x:v>
      </x:c>
      <x:c r="E170" s="34" t="str">
        <x:v>Auxiliar De Cocina</x:v>
      </x:c>
      <x:c r="F170" s="37" t="n">
        <x:v>43510</x:v>
      </x:c>
      <x:c r="G170" s="35" t="str">
        <x:v>Activo</x:v>
      </x:c>
      <x:c r="H170" s="154" t="str">
        <x:v>Sin diligenciar</x:v>
      </x:c>
    </x:row>
    <x:row r="171" ht="20" customHeight="1">
      <x:c r="A171" s="35" t="str">
        <x:v>CC</x:v>
      </x:c>
      <x:c r="B171" s="36" t="str">
        <x:v>28218054</x:v>
      </x:c>
      <x:c r="C171" s="34" t="str">
        <x:v>Lucy</x:v>
      </x:c>
      <x:c r="D171" s="34" t="str">
        <x:v>Rios Saavedra</x:v>
      </x:c>
      <x:c r="E171" s="34" t="str">
        <x:v>Auxiliar De Cocina</x:v>
      </x:c>
      <x:c r="F171" s="37" t="n">
        <x:v>43255</x:v>
      </x:c>
      <x:c r="G171" s="35" t="str">
        <x:v>Activo</x:v>
      </x:c>
      <x:c r="H171" s="154" t="str">
        <x:v>Sin diligenciar</x:v>
      </x:c>
    </x:row>
    <x:row r="172" ht="20" customHeight="1">
      <x:c r="A172" s="35" t="str">
        <x:v>CC</x:v>
      </x:c>
      <x:c r="B172" s="36" t="str">
        <x:v>1065238715</x:v>
      </x:c>
      <x:c r="C172" s="34" t="str">
        <x:v>Johana</x:v>
      </x:c>
      <x:c r="D172" s="34" t="str">
        <x:v>Samaca Gutierrez</x:v>
      </x:c>
      <x:c r="E172" s="34" t="str">
        <x:v>Auxiliar De Cocina</x:v>
      </x:c>
      <x:c r="F172" s="37" t="n">
        <x:v>43255</x:v>
      </x:c>
      <x:c r="G172" s="35" t="str">
        <x:v>Activo</x:v>
      </x:c>
      <x:c r="H172" s="154" t="str">
        <x:v>Sin diligenciar</x:v>
      </x:c>
    </x:row>
    <x:row r="173" ht="20" customHeight="1">
      <x:c r="A173" s="39" t="str">
        <x:v>CC</x:v>
      </x:c>
      <x:c r="B173" s="40" t="str">
        <x:v>1091664860</x:v>
      </x:c>
      <x:c r="C173" s="38" t="str">
        <x:v>Maireth</x:v>
      </x:c>
      <x:c r="D173" s="38" t="str">
        <x:v>Sanchez Peñuela</x:v>
      </x:c>
      <x:c r="E173" s="38" t="str">
        <x:v>Auxiliar De Cocina</x:v>
      </x:c>
      <x:c r="F173" s="41" t="n">
        <x:v>45035</x:v>
      </x:c>
      <x:c r="G173" s="39" t="str">
        <x:v>Activo</x:v>
      </x:c>
      <x:c r="H173" s="155" t="str">
        <x:v>Sin diligenciar</x:v>
      </x:c>
    </x:row>
    <x:row r="174">
      <x:c r="A174" s="42"/>
      <x:c r="B174" s="42"/>
      <x:c r="C174" s="42"/>
      <x:c r="D174" s="42"/>
      <x:c r="E174" s="42"/>
      <x:c r="F174" s="42"/>
      <x:c r="G174" s="42"/>
      <x:c r="H174" s="42"/>
    </x:row>
    <x:row r="175" ht="24" customHeight="1">
      <x:c r="A175" s="129" t="str">
        <x:f>"PISCICULTURA · "&amp;COUNTIF('Base filtrable'!$A$5:$A$138,"Piscicultura")&amp;" empleado(s) pendiente(s)"</x:f>
        <x:v>PISCICULTURA · 2 empleado(s) pendiente(s)</x:v>
      </x:c>
      <x:c r="B175" s="130"/>
      <x:c r="C175" s="130"/>
      <x:c r="D175" s="130"/>
      <x:c r="E175" s="130"/>
      <x:c r="F175" s="130"/>
      <x:c r="G175" s="130"/>
      <x:c r="H175" s="131"/>
    </x:row>
    <x:row r="176" ht="27" customHeight="1">
      <x:c r="A176" s="142" t="str">
        <x:v>Tipo doc.</x:v>
      </x:c>
      <x:c r="B176" s="143" t="str">
        <x:v>Número de documento</x:v>
      </x:c>
      <x:c r="C176" s="143" t="str">
        <x:v>Nombres</x:v>
      </x:c>
      <x:c r="D176" s="143" t="str">
        <x:v>Apellidos</x:v>
      </x:c>
      <x:c r="E176" s="143" t="str">
        <x:v>Cargo actual</x:v>
      </x:c>
      <x:c r="F176" s="143" t="str">
        <x:v>Fecha de ingreso</x:v>
      </x:c>
      <x:c r="G176" s="143" t="str">
        <x:v>Estado</x:v>
      </x:c>
      <x:c r="H176" s="144" t="str">
        <x:v>Sexo</x:v>
      </x:c>
    </x:row>
    <x:row r="177" ht="20" customHeight="1">
      <x:c r="A177" s="31" t="str">
        <x:v>CC</x:v>
      </x:c>
      <x:c r="B177" s="32" t="str">
        <x:v>88171598</x:v>
      </x:c>
      <x:c r="C177" s="30" t="str">
        <x:v>Fernando</x:v>
      </x:c>
      <x:c r="D177" s="30" t="str">
        <x:v>Cardenas Mora</x:v>
      </x:c>
      <x:c r="E177" s="30" t="str">
        <x:v>Auxiliar De Servicios Generales</x:v>
      </x:c>
      <x:c r="F177" s="33" t="n">
        <x:v>44840</x:v>
      </x:c>
      <x:c r="G177" s="31" t="str">
        <x:v>Activo</x:v>
      </x:c>
      <x:c r="H177" s="153" t="str">
        <x:v>Sin diligenciar</x:v>
      </x:c>
    </x:row>
    <x:row r="178" ht="20" customHeight="1">
      <x:c r="A178" s="39" t="str">
        <x:v>CC</x:v>
      </x:c>
      <x:c r="B178" s="40" t="str">
        <x:v>1094778268</x:v>
      </x:c>
      <x:c r="C178" s="38" t="str">
        <x:v>Blanca Liliana</x:v>
      </x:c>
      <x:c r="D178" s="38" t="str">
        <x:v>Rincon Salazar</x:v>
      </x:c>
      <x:c r="E178" s="38" t="str">
        <x:v>Auxiliar De Servicios Generales</x:v>
      </x:c>
      <x:c r="F178" s="41" t="n">
        <x:v>44502</x:v>
      </x:c>
      <x:c r="G178" s="39" t="str">
        <x:v>Activo</x:v>
      </x:c>
      <x:c r="H178" s="155" t="str">
        <x:v>Sin diligenciar</x:v>
      </x:c>
    </x:row>
    <x:row r="179">
      <x:c r="A179" s="42"/>
      <x:c r="B179" s="42"/>
      <x:c r="C179" s="42"/>
      <x:c r="D179" s="42"/>
      <x:c r="E179" s="42"/>
      <x:c r="F179" s="42"/>
      <x:c r="G179" s="42"/>
      <x:c r="H179" s="42"/>
    </x:row>
    <x:row r="180" ht="24" customHeight="1">
      <x:c r="A180" s="129" t="str">
        <x:f>"PLANTA DE CONCENTRADO · "&amp;COUNTIF('Base filtrable'!$A$5:$A$138,"Planta De Concentrado")&amp;" empleado(s) pendiente(s)"</x:f>
        <x:v>PLANTA DE CONCENTRADO · 5 empleado(s) pendiente(s)</x:v>
      </x:c>
      <x:c r="B180" s="130"/>
      <x:c r="C180" s="130"/>
      <x:c r="D180" s="130"/>
      <x:c r="E180" s="130"/>
      <x:c r="F180" s="130"/>
      <x:c r="G180" s="130"/>
      <x:c r="H180" s="131"/>
    </x:row>
    <x:row r="181" ht="27" customHeight="1">
      <x:c r="A181" s="142" t="str">
        <x:v>Tipo doc.</x:v>
      </x:c>
      <x:c r="B181" s="143" t="str">
        <x:v>Número de documento</x:v>
      </x:c>
      <x:c r="C181" s="143" t="str">
        <x:v>Nombres</x:v>
      </x:c>
      <x:c r="D181" s="143" t="str">
        <x:v>Apellidos</x:v>
      </x:c>
      <x:c r="E181" s="143" t="str">
        <x:v>Cargo actual</x:v>
      </x:c>
      <x:c r="F181" s="143" t="str">
        <x:v>Fecha de ingreso</x:v>
      </x:c>
      <x:c r="G181" s="143" t="str">
        <x:v>Estado</x:v>
      </x:c>
      <x:c r="H181" s="144" t="str">
        <x:v>Sexo</x:v>
      </x:c>
    </x:row>
    <x:row r="182" ht="20" customHeight="1">
      <x:c r="A182" s="31" t="str">
        <x:v>CC</x:v>
      </x:c>
      <x:c r="B182" s="32" t="str">
        <x:v>63524872</x:v>
      </x:c>
      <x:c r="C182" s="30" t="str">
        <x:v>Andrea Margarita</x:v>
      </x:c>
      <x:c r="D182" s="30" t="str">
        <x:v>Barrera Prada</x:v>
      </x:c>
      <x:c r="E182" s="30" t="str">
        <x:v>Gerente Planta De Alimentos Concentrados</x:v>
      </x:c>
      <x:c r="F182" s="33" t="n">
        <x:v>39085</x:v>
      </x:c>
      <x:c r="G182" s="31" t="str">
        <x:v>Activo</x:v>
      </x:c>
      <x:c r="H182" s="153" t="str">
        <x:v>Sin diligenciar</x:v>
      </x:c>
    </x:row>
    <x:row r="183" ht="20" customHeight="1">
      <x:c r="A183" s="35" t="str">
        <x:v>CC</x:v>
      </x:c>
      <x:c r="B183" s="36" t="str">
        <x:v>1095915209</x:v>
      </x:c>
      <x:c r="C183" s="34" t="str">
        <x:v>Oscar Javier</x:v>
      </x:c>
      <x:c r="D183" s="34" t="str">
        <x:v>Naranjo Jaimes</x:v>
      </x:c>
      <x:c r="E183" s="34" t="str">
        <x:v>Auxiliar Bodega</x:v>
      </x:c>
      <x:c r="F183" s="37" t="n">
        <x:v>43766</x:v>
      </x:c>
      <x:c r="G183" s="35" t="str">
        <x:v>Activo</x:v>
      </x:c>
      <x:c r="H183" s="154" t="str">
        <x:v>Sin diligenciar</x:v>
      </x:c>
    </x:row>
    <x:row r="184" ht="20" customHeight="1">
      <x:c r="A184" s="35" t="str">
        <x:v>CC</x:v>
      </x:c>
      <x:c r="B184" s="36" t="str">
        <x:v>91532107</x:v>
      </x:c>
      <x:c r="C184" s="34" t="str">
        <x:v>German Dario</x:v>
      </x:c>
      <x:c r="D184" s="34" t="str">
        <x:v>Pulido Moreno</x:v>
      </x:c>
      <x:c r="E184" s="34" t="str">
        <x:v>Asistente Planta De Concentrados</x:v>
      </x:c>
      <x:c r="F184" s="37" t="n">
        <x:v>44317</x:v>
      </x:c>
      <x:c r="G184" s="35" t="str">
        <x:v>Activo</x:v>
      </x:c>
      <x:c r="H184" s="154" t="str">
        <x:v>Sin diligenciar</x:v>
      </x:c>
    </x:row>
    <x:row r="185" ht="20" customHeight="1">
      <x:c r="A185" s="35" t="str">
        <x:v>CC</x:v>
      </x:c>
      <x:c r="B185" s="36" t="str">
        <x:v>1095915404</x:v>
      </x:c>
      <x:c r="C185" s="34" t="str">
        <x:v>Diego Jose</x:v>
      </x:c>
      <x:c r="D185" s="34" t="str">
        <x:v>Tapias Santos</x:v>
      </x:c>
      <x:c r="E185" s="34" t="str">
        <x:v>Auxiliar Bodega</x:v>
      </x:c>
      <x:c r="F185" s="37" t="n">
        <x:v>44400</x:v>
      </x:c>
      <x:c r="G185" s="35" t="str">
        <x:v>Activo</x:v>
      </x:c>
      <x:c r="H185" s="154" t="str">
        <x:v>Sin diligenciar</x:v>
      </x:c>
    </x:row>
    <x:row r="186" ht="20" customHeight="1">
      <x:c r="A186" s="39" t="str">
        <x:v>CC</x:v>
      </x:c>
      <x:c r="B186" s="40" t="str">
        <x:v>1102381105</x:v>
      </x:c>
      <x:c r="C186" s="38" t="str">
        <x:v>Juan Carlos</x:v>
      </x:c>
      <x:c r="D186" s="38" t="str">
        <x:v>Vasquez Maurio</x:v>
      </x:c>
      <x:c r="E186" s="38" t="str">
        <x:v>Auxiliar Bodega</x:v>
      </x:c>
      <x:c r="F186" s="41" t="n">
        <x:v>44186</x:v>
      </x:c>
      <x:c r="G186" s="39" t="str">
        <x:v>Activo</x:v>
      </x:c>
      <x:c r="H186" s="155" t="str">
        <x:v>Sin diligenciar</x:v>
      </x:c>
    </x:row>
    <x:row r="187">
      <x:c r="A187" s="42"/>
      <x:c r="B187" s="42"/>
      <x:c r="C187" s="42"/>
      <x:c r="D187" s="42"/>
      <x:c r="E187" s="42"/>
      <x:c r="F187" s="42"/>
      <x:c r="G187" s="42"/>
      <x:c r="H187" s="42"/>
    </x:row>
    <x:row r="188" ht="24" customHeight="1">
      <x:c r="A188" s="129" t="str">
        <x:f>"PLANTA PRELISTOS · "&amp;COUNTIF('Base filtrable'!$A$5:$A$138,"Planta Prelistos")&amp;" empleado(s) pendiente(s)"</x:f>
        <x:v>PLANTA PRELISTOS · 1 empleado(s) pendiente(s)</x:v>
      </x:c>
      <x:c r="B188" s="130"/>
      <x:c r="C188" s="130"/>
      <x:c r="D188" s="130"/>
      <x:c r="E188" s="130"/>
      <x:c r="F188" s="130"/>
      <x:c r="G188" s="130"/>
      <x:c r="H188" s="131"/>
    </x:row>
    <x:row r="189" ht="27" customHeight="1">
      <x:c r="A189" s="142" t="str">
        <x:v>Tipo doc.</x:v>
      </x:c>
      <x:c r="B189" s="143" t="str">
        <x:v>Número de documento</x:v>
      </x:c>
      <x:c r="C189" s="143" t="str">
        <x:v>Nombres</x:v>
      </x:c>
      <x:c r="D189" s="143" t="str">
        <x:v>Apellidos</x:v>
      </x:c>
      <x:c r="E189" s="143" t="str">
        <x:v>Cargo actual</x:v>
      </x:c>
      <x:c r="F189" s="143" t="str">
        <x:v>Fecha de ingreso</x:v>
      </x:c>
      <x:c r="G189" s="143" t="str">
        <x:v>Estado</x:v>
      </x:c>
      <x:c r="H189" s="144" t="str">
        <x:v>Sexo</x:v>
      </x:c>
    </x:row>
    <x:row r="190" ht="20" customHeight="1">
      <x:c r="A190" s="6" t="str">
        <x:v>CC</x:v>
      </x:c>
      <x:c r="B190" s="7" t="str">
        <x:v>37619116</x:v>
      </x:c>
      <x:c r="C190" s="3" t="str">
        <x:v>Yenny Paola</x:v>
      </x:c>
      <x:c r="D190" s="3" t="str">
        <x:v>Noguera Jimenez</x:v>
      </x:c>
      <x:c r="E190" s="3" t="str">
        <x:v>Auxiliar De Producción De Alimentos</x:v>
      </x:c>
      <x:c r="F190" s="8" t="n">
        <x:v>45803</x:v>
      </x:c>
      <x:c r="G190" s="6" t="str">
        <x:v>Activo</x:v>
      </x:c>
      <x:c r="H190" s="146" t="str">
        <x:v>Sin diligenciar</x:v>
      </x:c>
    </x:row>
    <x:row r="191">
      <x:c r="A191" s="42"/>
      <x:c r="B191" s="42"/>
      <x:c r="C191" s="42"/>
      <x:c r="D191" s="42"/>
      <x:c r="E191" s="42"/>
      <x:c r="F191" s="42"/>
      <x:c r="G191" s="42"/>
      <x:c r="H191" s="42"/>
    </x:row>
    <x:row r="192" ht="24" customHeight="1">
      <x:c r="A192" s="129" t="str">
        <x:f>"PRINCIPAL · "&amp;COUNTIF('Base filtrable'!$A$5:$A$138,"Principal")&amp;" empleado(s) pendiente(s)"</x:f>
        <x:v>PRINCIPAL · 3 empleado(s) pendiente(s)</x:v>
      </x:c>
      <x:c r="B192" s="130"/>
      <x:c r="C192" s="130"/>
      <x:c r="D192" s="130"/>
      <x:c r="E192" s="130"/>
      <x:c r="F192" s="130"/>
      <x:c r="G192" s="130"/>
      <x:c r="H192" s="131"/>
    </x:row>
    <x:row r="193" ht="27" customHeight="1">
      <x:c r="A193" s="142" t="str">
        <x:v>Tipo doc.</x:v>
      </x:c>
      <x:c r="B193" s="143" t="str">
        <x:v>Número de documento</x:v>
      </x:c>
      <x:c r="C193" s="143" t="str">
        <x:v>Nombres</x:v>
      </x:c>
      <x:c r="D193" s="143" t="str">
        <x:v>Apellidos</x:v>
      </x:c>
      <x:c r="E193" s="143" t="str">
        <x:v>Cargo actual</x:v>
      </x:c>
      <x:c r="F193" s="143" t="str">
        <x:v>Fecha de ingreso</x:v>
      </x:c>
      <x:c r="G193" s="143" t="str">
        <x:v>Estado</x:v>
      </x:c>
      <x:c r="H193" s="144" t="str">
        <x:v>Sexo</x:v>
      </x:c>
    </x:row>
    <x:row r="194" ht="20" customHeight="1">
      <x:c r="A194" s="31" t="str">
        <x:v>CC</x:v>
      </x:c>
      <x:c r="B194" s="32" t="str">
        <x:v>1005297711</x:v>
      </x:c>
      <x:c r="C194" s="30" t="str">
        <x:v> Daniela</x:v>
      </x:c>
      <x:c r="D194" s="30" t="str">
        <x:v>Bello Pineda</x:v>
      </x:c>
      <x:c r="E194" s="30" t="str">
        <x:v>Asistente Costos</x:v>
      </x:c>
      <x:c r="F194" s="33" t="n">
        <x:v>45621</x:v>
      </x:c>
      <x:c r="G194" s="31" t="str">
        <x:v>Activo</x:v>
      </x:c>
      <x:c r="H194" s="153" t="str">
        <x:v>Sin diligenciar</x:v>
      </x:c>
    </x:row>
    <x:row r="195" ht="20" customHeight="1">
      <x:c r="A195" s="35" t="str">
        <x:v>CC</x:v>
      </x:c>
      <x:c r="B195" s="36" t="str">
        <x:v>91478568</x:v>
      </x:c>
      <x:c r="C195" s="34" t="str">
        <x:v>Mauricio</x:v>
      </x:c>
      <x:c r="D195" s="34" t="str">
        <x:v>Moya</x:v>
      </x:c>
      <x:c r="E195" s="34" t="str">
        <x:v>Coordinador De Activos</x:v>
      </x:c>
      <x:c r="F195" s="37" t="n">
        <x:v>40214</x:v>
      </x:c>
      <x:c r="G195" s="35" t="str">
        <x:v>Activo</x:v>
      </x:c>
      <x:c r="H195" s="154" t="str">
        <x:v>Sin diligenciar</x:v>
      </x:c>
    </x:row>
    <x:row r="196" ht="20" customHeight="1">
      <x:c r="A196" s="39" t="str">
        <x:v>CC</x:v>
      </x:c>
      <x:c r="B196" s="40" t="str">
        <x:v>1055916809</x:v>
      </x:c>
      <x:c r="C196" s="38" t="str">
        <x:v>Yuldor</x:v>
      </x:c>
      <x:c r="D196" s="38" t="str">
        <x:v>Osorio Ramirez</x:v>
      </x:c>
      <x:c r="E196" s="38" t="str">
        <x:v>Supervisor De Campo</x:v>
      </x:c>
      <x:c r="F196" s="41" t="n">
        <x:v>43814</x:v>
      </x:c>
      <x:c r="G196" s="39" t="str">
        <x:v>Activo</x:v>
      </x:c>
      <x:c r="H196" s="155" t="str">
        <x:v>Sin diligenciar</x:v>
      </x:c>
    </x:row>
    <x:row r="197">
      <x:c r="A197" s="42"/>
      <x:c r="B197" s="42"/>
      <x:c r="C197" s="42"/>
      <x:c r="D197" s="42"/>
      <x:c r="E197" s="42"/>
      <x:c r="F197" s="42"/>
      <x:c r="G197" s="42"/>
      <x:c r="H197" s="42"/>
    </x:row>
    <x:row r="198" ht="24" customHeight="1">
      <x:c r="A198" s="129" t="str">
        <x:f>"PUERTO BAHIA · "&amp;COUNTIF('Base filtrable'!$A$5:$A$138,"Puerto Bahia")&amp;" empleado(s) pendiente(s)"</x:f>
        <x:v>PUERTO BAHIA · 1 empleado(s) pendiente(s)</x:v>
      </x:c>
      <x:c r="B198" s="130"/>
      <x:c r="C198" s="130"/>
      <x:c r="D198" s="130"/>
      <x:c r="E198" s="130"/>
      <x:c r="F198" s="130"/>
      <x:c r="G198" s="130"/>
      <x:c r="H198" s="131"/>
    </x:row>
    <x:row r="199" ht="27" customHeight="1">
      <x:c r="A199" s="142" t="str">
        <x:v>Tipo doc.</x:v>
      </x:c>
      <x:c r="B199" s="143" t="str">
        <x:v>Número de documento</x:v>
      </x:c>
      <x:c r="C199" s="143" t="str">
        <x:v>Nombres</x:v>
      </x:c>
      <x:c r="D199" s="143" t="str">
        <x:v>Apellidos</x:v>
      </x:c>
      <x:c r="E199" s="143" t="str">
        <x:v>Cargo actual</x:v>
      </x:c>
      <x:c r="F199" s="143" t="str">
        <x:v>Fecha de ingreso</x:v>
      </x:c>
      <x:c r="G199" s="143" t="str">
        <x:v>Estado</x:v>
      </x:c>
      <x:c r="H199" s="144" t="str">
        <x:v>Sexo</x:v>
      </x:c>
    </x:row>
    <x:row r="200" ht="20" customHeight="1">
      <x:c r="A200" s="6" t="str">
        <x:v>CC</x:v>
      </x:c>
      <x:c r="B200" s="7" t="str">
        <x:v>1047507308</x:v>
      </x:c>
      <x:c r="C200" s="3" t="str">
        <x:v>Laura Vanessa</x:v>
      </x:c>
      <x:c r="D200" s="3" t="str">
        <x:v>Garcia Meza</x:v>
      </x:c>
      <x:c r="E200" s="3" t="str">
        <x:v>Auxiliar Supernumerario</x:v>
      </x:c>
      <x:c r="F200" s="8" t="n">
        <x:v>46050</x:v>
      </x:c>
      <x:c r="G200" s="6" t="str">
        <x:v>Activo</x:v>
      </x:c>
      <x:c r="H200" s="146" t="str">
        <x:v>Sin diligenciar</x:v>
      </x:c>
    </x:row>
    <x:row r="201">
      <x:c r="A201" s="42"/>
      <x:c r="B201" s="42"/>
      <x:c r="C201" s="42"/>
      <x:c r="D201" s="42"/>
      <x:c r="E201" s="42"/>
      <x:c r="F201" s="42"/>
      <x:c r="G201" s="42"/>
      <x:c r="H201" s="42"/>
    </x:row>
    <x:row r="202" ht="24" customHeight="1">
      <x:c r="A202" s="129" t="str">
        <x:f>"SALA DE DESPOSTE · "&amp;COUNTIF('Base filtrable'!$A$5:$A$138,"Sala De Desposte")&amp;" empleado(s) pendiente(s)"</x:f>
        <x:v>SALA DE DESPOSTE · 5 empleado(s) pendiente(s)</x:v>
      </x:c>
      <x:c r="B202" s="130"/>
      <x:c r="C202" s="130"/>
      <x:c r="D202" s="130"/>
      <x:c r="E202" s="130"/>
      <x:c r="F202" s="130"/>
      <x:c r="G202" s="130"/>
      <x:c r="H202" s="131"/>
    </x:row>
    <x:row r="203" ht="27" customHeight="1">
      <x:c r="A203" s="142" t="str">
        <x:v>Tipo doc.</x:v>
      </x:c>
      <x:c r="B203" s="143" t="str">
        <x:v>Número de documento</x:v>
      </x:c>
      <x:c r="C203" s="143" t="str">
        <x:v>Nombres</x:v>
      </x:c>
      <x:c r="D203" s="143" t="str">
        <x:v>Apellidos</x:v>
      </x:c>
      <x:c r="E203" s="143" t="str">
        <x:v>Cargo actual</x:v>
      </x:c>
      <x:c r="F203" s="143" t="str">
        <x:v>Fecha de ingreso</x:v>
      </x:c>
      <x:c r="G203" s="143" t="str">
        <x:v>Estado</x:v>
      </x:c>
      <x:c r="H203" s="144" t="str">
        <x:v>Sexo</x:v>
      </x:c>
    </x:row>
    <x:row r="204" ht="20" customHeight="1">
      <x:c r="A204" s="31" t="str">
        <x:v>CC</x:v>
      </x:c>
      <x:c r="B204" s="32" t="str">
        <x:v>91513320</x:v>
      </x:c>
      <x:c r="C204" s="30" t="str">
        <x:v>Juan Carlos</x:v>
      </x:c>
      <x:c r="D204" s="30" t="str">
        <x:v>Boyaca Gonzalez</x:v>
      </x:c>
      <x:c r="E204" s="30" t="str">
        <x:v>Auxiliar Sala De Acondicionamiento De Carne</x:v>
      </x:c>
      <x:c r="F204" s="33" t="n">
        <x:v>44893</x:v>
      </x:c>
      <x:c r="G204" s="31" t="str">
        <x:v>Activo</x:v>
      </x:c>
      <x:c r="H204" s="153" t="str">
        <x:v>Sin diligenciar</x:v>
      </x:c>
    </x:row>
    <x:row r="205" ht="20" customHeight="1">
      <x:c r="A205" s="35" t="str">
        <x:v>CC</x:v>
      </x:c>
      <x:c r="B205" s="36" t="str">
        <x:v>88308011</x:v>
      </x:c>
      <x:c r="C205" s="34" t="str">
        <x:v>Omar Alberto</x:v>
      </x:c>
      <x:c r="D205" s="34" t="str">
        <x:v>Camargo Manosalva</x:v>
      </x:c>
      <x:c r="E205" s="34" t="str">
        <x:v>Auxiliar De Bodega</x:v>
      </x:c>
      <x:c r="F205" s="37" t="n">
        <x:v>45250</x:v>
      </x:c>
      <x:c r="G205" s="35" t="str">
        <x:v>Activo</x:v>
      </x:c>
      <x:c r="H205" s="154" t="str">
        <x:v>Sin diligenciar</x:v>
      </x:c>
    </x:row>
    <x:row r="206" ht="20" customHeight="1">
      <x:c r="A206" s="35" t="str">
        <x:v>CC</x:v>
      </x:c>
      <x:c r="B206" s="36" t="str">
        <x:v>1098703000</x:v>
      </x:c>
      <x:c r="C206" s="34" t="str">
        <x:v>Pedro Smith</x:v>
      </x:c>
      <x:c r="D206" s="34" t="str">
        <x:v>Contreras Barajas</x:v>
      </x:c>
      <x:c r="E206" s="34" t="str">
        <x:v>Auxiliar Bodega</x:v>
      </x:c>
      <x:c r="F206" s="37" t="n">
        <x:v>45827</x:v>
      </x:c>
      <x:c r="G206" s="35" t="str">
        <x:v>Activo</x:v>
      </x:c>
      <x:c r="H206" s="154" t="str">
        <x:v>Sin diligenciar</x:v>
      </x:c>
    </x:row>
    <x:row r="207" ht="20" customHeight="1">
      <x:c r="A207" s="35" t="str">
        <x:v>CC</x:v>
      </x:c>
      <x:c r="B207" s="36" t="str">
        <x:v>91247339</x:v>
      </x:c>
      <x:c r="C207" s="34" t="str">
        <x:v>Arturo</x:v>
      </x:c>
      <x:c r="D207" s="34" t="str">
        <x:v>Gomez Estevez</x:v>
      </x:c>
      <x:c r="E207" s="34" t="str">
        <x:v>Auxiliar Acondicionamiento Cárnico</x:v>
      </x:c>
      <x:c r="F207" s="37" t="n">
        <x:v>43579</x:v>
      </x:c>
      <x:c r="G207" s="35" t="str">
        <x:v>Activo</x:v>
      </x:c>
      <x:c r="H207" s="154" t="str">
        <x:v>Sin diligenciar</x:v>
      </x:c>
    </x:row>
    <x:row r="208" ht="20" customHeight="1">
      <x:c r="A208" s="39" t="str">
        <x:v>CC</x:v>
      </x:c>
      <x:c r="B208" s="40" t="str">
        <x:v>77181089</x:v>
      </x:c>
      <x:c r="C208" s="38" t="str">
        <x:v>Isaias</x:v>
      </x:c>
      <x:c r="D208" s="38" t="str">
        <x:v>Salazar Santiago</x:v>
      </x:c>
      <x:c r="E208" s="38" t="str">
        <x:v>Profesional Acondicionamiento Cárnico</x:v>
      </x:c>
      <x:c r="F208" s="41" t="n">
        <x:v>38160</x:v>
      </x:c>
      <x:c r="G208" s="39" t="str">
        <x:v>Activo</x:v>
      </x:c>
      <x:c r="H208" s="155" t="str">
        <x:v>Sin diligenciar</x:v>
      </x:c>
    </x:row>
    <x:row r="209">
      <x:c r="A209" s="42"/>
      <x:c r="B209" s="42"/>
      <x:c r="C209" s="42"/>
      <x:c r="D209" s="42"/>
      <x:c r="E209" s="42"/>
      <x:c r="F209" s="42"/>
      <x:c r="G209" s="42"/>
      <x:c r="H209" s="42"/>
    </x:row>
    <x:row r="210" ht="24" customHeight="1">
      <x:c r="A210" s="129" t="str">
        <x:f>"SAMORE · "&amp;COUNTIF('Base filtrable'!$A$5:$A$138,"Samore")&amp;" empleado(s) pendiente(s)"</x:f>
        <x:v>SAMORE · 1 empleado(s) pendiente(s)</x:v>
      </x:c>
      <x:c r="B210" s="130"/>
      <x:c r="C210" s="130"/>
      <x:c r="D210" s="130"/>
      <x:c r="E210" s="130"/>
      <x:c r="F210" s="130"/>
      <x:c r="G210" s="130"/>
      <x:c r="H210" s="131"/>
    </x:row>
    <x:row r="211" ht="27" customHeight="1">
      <x:c r="A211" s="142" t="str">
        <x:v>Tipo doc.</x:v>
      </x:c>
      <x:c r="B211" s="143" t="str">
        <x:v>Número de documento</x:v>
      </x:c>
      <x:c r="C211" s="143" t="str">
        <x:v>Nombres</x:v>
      </x:c>
      <x:c r="D211" s="143" t="str">
        <x:v>Apellidos</x:v>
      </x:c>
      <x:c r="E211" s="143" t="str">
        <x:v>Cargo actual</x:v>
      </x:c>
      <x:c r="F211" s="143" t="str">
        <x:v>Fecha de ingreso</x:v>
      </x:c>
      <x:c r="G211" s="143" t="str">
        <x:v>Estado</x:v>
      </x:c>
      <x:c r="H211" s="144" t="str">
        <x:v>Sexo</x:v>
      </x:c>
    </x:row>
    <x:row r="212" ht="20" customHeight="1">
      <x:c r="A212" s="6" t="str">
        <x:v>CC</x:v>
      </x:c>
      <x:c r="B212" s="7" t="str">
        <x:v>60420681</x:v>
      </x:c>
      <x:c r="C212" s="3" t="str">
        <x:v>Ligia</x:v>
      </x:c>
      <x:c r="D212" s="3" t="str">
        <x:v>Contreras Tarazona</x:v>
      </x:c>
      <x:c r="E212" s="3" t="str">
        <x:v>Auxiliar De Aseo Y Cafeteria</x:v>
      </x:c>
      <x:c r="F212" s="8" t="n">
        <x:v>46024</x:v>
      </x:c>
      <x:c r="G212" s="6" t="str">
        <x:v>Activo</x:v>
      </x:c>
      <x:c r="H212" s="146" t="str">
        <x:v>Sin diligenciar</x:v>
      </x:c>
    </x:row>
    <x:row r="213">
      <x:c r="A213" s="42"/>
      <x:c r="B213" s="42"/>
      <x:c r="C213" s="42"/>
      <x:c r="D213" s="42"/>
      <x:c r="E213" s="42"/>
      <x:c r="F213" s="42"/>
      <x:c r="G213" s="42"/>
      <x:c r="H213" s="42"/>
    </x:row>
    <x:row r="214" ht="24" customHeight="1">
      <x:c r="A214" s="129" t="str">
        <x:f>"SANTA ROSA · "&amp;COUNTIF('Base filtrable'!$A$5:$A$138,"Santa Rosa")&amp;" empleado(s) pendiente(s)"</x:f>
        <x:v>SANTA ROSA · 6 empleado(s) pendiente(s)</x:v>
      </x:c>
      <x:c r="B214" s="130"/>
      <x:c r="C214" s="130"/>
      <x:c r="D214" s="130"/>
      <x:c r="E214" s="130"/>
      <x:c r="F214" s="130"/>
      <x:c r="G214" s="130"/>
      <x:c r="H214" s="131"/>
    </x:row>
    <x:row r="215" ht="27" customHeight="1">
      <x:c r="A215" s="142" t="str">
        <x:v>Tipo doc.</x:v>
      </x:c>
      <x:c r="B215" s="143" t="str">
        <x:v>Número de documento</x:v>
      </x:c>
      <x:c r="C215" s="143" t="str">
        <x:v>Nombres</x:v>
      </x:c>
      <x:c r="D215" s="143" t="str">
        <x:v>Apellidos</x:v>
      </x:c>
      <x:c r="E215" s="143" t="str">
        <x:v>Cargo actual</x:v>
      </x:c>
      <x:c r="F215" s="143" t="str">
        <x:v>Fecha de ingreso</x:v>
      </x:c>
      <x:c r="G215" s="143" t="str">
        <x:v>Estado</x:v>
      </x:c>
      <x:c r="H215" s="144" t="str">
        <x:v>Sexo</x:v>
      </x:c>
    </x:row>
    <x:row r="216" ht="20" customHeight="1">
      <x:c r="A216" s="31" t="str">
        <x:v>CC</x:v>
      </x:c>
      <x:c r="B216" s="32" t="str">
        <x:v>1005303933</x:v>
      </x:c>
      <x:c r="C216" s="30" t="str">
        <x:v>Angie Paola</x:v>
      </x:c>
      <x:c r="D216" s="30" t="str">
        <x:v>Ariza Quiroga</x:v>
      </x:c>
      <x:c r="E216" s="30" t="str">
        <x:v>Auxiliar De Cocina</x:v>
      </x:c>
      <x:c r="F216" s="33" t="n">
        <x:v>45790</x:v>
      </x:c>
      <x:c r="G216" s="31" t="str">
        <x:v>Activo</x:v>
      </x:c>
      <x:c r="H216" s="153" t="str">
        <x:v>Sin diligenciar</x:v>
      </x:c>
    </x:row>
    <x:row r="217" ht="20" customHeight="1">
      <x:c r="A217" s="35" t="str">
        <x:v>CC</x:v>
      </x:c>
      <x:c r="B217" s="36" t="str">
        <x:v>1005303650</x:v>
      </x:c>
      <x:c r="C217" s="34" t="str">
        <x:v>Yenny Marcela</x:v>
      </x:c>
      <x:c r="D217" s="34" t="str">
        <x:v>Ariza Quiroga</x:v>
      </x:c>
      <x:c r="E217" s="34" t="str">
        <x:v>Auxiliar De Aseo Y Cafeteria</x:v>
      </x:c>
      <x:c r="F217" s="37" t="n">
        <x:v>46138</x:v>
      </x:c>
      <x:c r="G217" s="35" t="str">
        <x:v>Activo</x:v>
      </x:c>
      <x:c r="H217" s="154" t="str">
        <x:v>Sin diligenciar</x:v>
      </x:c>
    </x:row>
    <x:row r="218" ht="20" customHeight="1">
      <x:c r="A218" s="35" t="str">
        <x:v>CC</x:v>
      </x:c>
      <x:c r="B218" s="36" t="str">
        <x:v>1091671410</x:v>
      </x:c>
      <x:c r="C218" s="34" t="str">
        <x:v>Brandon Francisco</x:v>
      </x:c>
      <x:c r="D218" s="34" t="str">
        <x:v>Aro Diaz</x:v>
      </x:c>
      <x:c r="E218" s="34" t="str">
        <x:v>Chef</x:v>
      </x:c>
      <x:c r="F218" s="37" t="n">
        <x:v>45597</x:v>
      </x:c>
      <x:c r="G218" s="35" t="str">
        <x:v>Activo</x:v>
      </x:c>
      <x:c r="H218" s="154" t="str">
        <x:v>Sin diligenciar</x:v>
      </x:c>
    </x:row>
    <x:row r="219" ht="20" customHeight="1">
      <x:c r="A219" s="35" t="str">
        <x:v>CC</x:v>
      </x:c>
      <x:c r="B219" s="36" t="str">
        <x:v>1096482182</x:v>
      </x:c>
      <x:c r="C219" s="34" t="str">
        <x:v>Angie Lorena</x:v>
      </x:c>
      <x:c r="D219" s="34" t="str">
        <x:v>Gamboa Arevalo</x:v>
      </x:c>
      <x:c r="E219" s="34" t="str">
        <x:v>Auxiliar De Aseo Y Cafeteria</x:v>
      </x:c>
      <x:c r="F219" s="37" t="n">
        <x:v>45752</x:v>
      </x:c>
      <x:c r="G219" s="35" t="str">
        <x:v>Activo</x:v>
      </x:c>
      <x:c r="H219" s="154" t="str">
        <x:v>Sin diligenciar</x:v>
      </x:c>
    </x:row>
    <x:row r="220" ht="20" customHeight="1">
      <x:c r="A220" s="35" t="str">
        <x:v>CC</x:v>
      </x:c>
      <x:c r="B220" s="36" t="str">
        <x:v>1096482300</x:v>
      </x:c>
      <x:c r="C220" s="34" t="str">
        <x:v>Yeidy Lineth</x:v>
      </x:c>
      <x:c r="D220" s="34" t="str">
        <x:v>Gil Forero</x:v>
      </x:c>
      <x:c r="E220" s="34" t="str">
        <x:v>Auxiliar De Aseo Y Cafeteria</x:v>
      </x:c>
      <x:c r="F220" s="37" t="n">
        <x:v>45771</x:v>
      </x:c>
      <x:c r="G220" s="35" t="str">
        <x:v>Activo</x:v>
      </x:c>
      <x:c r="H220" s="154" t="str">
        <x:v>Sin diligenciar</x:v>
      </x:c>
    </x:row>
    <x:row r="221" ht="20" customHeight="1">
      <x:c r="A221" s="39" t="str">
        <x:v>CC</x:v>
      </x:c>
      <x:c r="B221" s="40" t="str">
        <x:v>1025525213</x:v>
      </x:c>
      <x:c r="C221" s="38" t="str">
        <x:v>Yerly Catalina</x:v>
      </x:c>
      <x:c r="D221" s="38" t="str">
        <x:v>Lopez Vargas</x:v>
      </x:c>
      <x:c r="E221" s="38" t="str">
        <x:v>Auxiliar De Aseo Y Cafeteria</x:v>
      </x:c>
      <x:c r="F221" s="41" t="n">
        <x:v>46135</x:v>
      </x:c>
      <x:c r="G221" s="39" t="str">
        <x:v>Activo</x:v>
      </x:c>
      <x:c r="H221" s="155" t="str">
        <x:v>Sin diligenciar</x:v>
      </x:c>
    </x:row>
    <x:row r="222">
      <x:c r="A222" s="42"/>
      <x:c r="B222" s="42"/>
      <x:c r="C222" s="42"/>
      <x:c r="D222" s="42"/>
      <x:c r="E222" s="42"/>
      <x:c r="F222" s="42"/>
      <x:c r="G222" s="42"/>
      <x:c r="H222" s="42"/>
    </x:row>
    <x:row r="223" ht="24" customHeight="1">
      <x:c r="A223" s="129" t="str">
        <x:f>"SIN CENTRO ASIGNADO · "&amp;COUNTIF('Base filtrable'!$A$5:$A$138,"Sin centro asignado")&amp;" empleado(s) pendiente(s)"</x:f>
        <x:v>SIN CENTRO ASIGNADO · 7 empleado(s) pendiente(s)</x:v>
      </x:c>
      <x:c r="B223" s="130"/>
      <x:c r="C223" s="130"/>
      <x:c r="D223" s="130"/>
      <x:c r="E223" s="130"/>
      <x:c r="F223" s="130"/>
      <x:c r="G223" s="130"/>
      <x:c r="H223" s="131"/>
    </x:row>
    <x:row r="224" ht="27" customHeight="1">
      <x:c r="A224" s="142" t="str">
        <x:v>Tipo doc.</x:v>
      </x:c>
      <x:c r="B224" s="143" t="str">
        <x:v>Número de documento</x:v>
      </x:c>
      <x:c r="C224" s="143" t="str">
        <x:v>Nombres</x:v>
      </x:c>
      <x:c r="D224" s="143" t="str">
        <x:v>Apellidos</x:v>
      </x:c>
      <x:c r="E224" s="143" t="str">
        <x:v>Cargo actual</x:v>
      </x:c>
      <x:c r="F224" s="143" t="str">
        <x:v>Fecha de ingreso</x:v>
      </x:c>
      <x:c r="G224" s="143" t="str">
        <x:v>Estado</x:v>
      </x:c>
      <x:c r="H224" s="144" t="str">
        <x:v>Sexo</x:v>
      </x:c>
    </x:row>
    <x:row r="225" ht="20" customHeight="1">
      <x:c r="A225" s="31" t="str">
        <x:v>CC</x:v>
      </x:c>
      <x:c r="B225" s="32" t="str">
        <x:v>1193424581</x:v>
      </x:c>
      <x:c r="C225" s="30" t="str">
        <x:v>Ricardo Antonio</x:v>
      </x:c>
      <x:c r="D225" s="30" t="str">
        <x:v>Acosta Pedrozo</x:v>
      </x:c>
      <x:c r="E225" s="30" t="str">
        <x:v>Sin cargo registrado</x:v>
      </x:c>
      <x:c r="F225" s="33"/>
      <x:c r="G225" s="31" t="str">
        <x:v>Activo</x:v>
      </x:c>
      <x:c r="H225" s="153" t="str">
        <x:v>Sin diligenciar</x:v>
      </x:c>
    </x:row>
    <x:row r="226" ht="20" customHeight="1">
      <x:c r="A226" s="35" t="str">
        <x:v>CC</x:v>
      </x:c>
      <x:c r="B226" s="36" t="str">
        <x:v>1103740491</x:v>
      </x:c>
      <x:c r="C226" s="34" t="str">
        <x:v>Orlando Melquisedec Junior</x:v>
      </x:c>
      <x:c r="D226" s="34" t="str">
        <x:v>Alvarez Meza</x:v>
      </x:c>
      <x:c r="E226" s="34" t="str">
        <x:v>Sin cargo registrado</x:v>
      </x:c>
      <x:c r="F226" s="37"/>
      <x:c r="G226" s="35" t="str">
        <x:v>Activo</x:v>
      </x:c>
      <x:c r="H226" s="154" t="str">
        <x:v>Sin diligenciar</x:v>
      </x:c>
    </x:row>
    <x:row r="227" ht="20" customHeight="1">
      <x:c r="A227" s="35" t="str">
        <x:v>CC</x:v>
      </x:c>
      <x:c r="B227" s="36" t="str">
        <x:v>63511398</x:v>
      </x:c>
      <x:c r="C227" s="34" t="str">
        <x:v>Gloria Amparo</x:v>
      </x:c>
      <x:c r="D227" s="34" t="str">
        <x:v>Bautista Tobo</x:v>
      </x:c>
      <x:c r="E227" s="34" t="str">
        <x:v>Sin cargo registrado</x:v>
      </x:c>
      <x:c r="F227" s="37"/>
      <x:c r="G227" s="35" t="str">
        <x:v>Activo</x:v>
      </x:c>
      <x:c r="H227" s="154" t="str">
        <x:v>Sin diligenciar</x:v>
      </x:c>
    </x:row>
    <x:row r="228" ht="20" customHeight="1">
      <x:c r="A228" s="35" t="str">
        <x:v>CC</x:v>
      </x:c>
      <x:c r="B228" s="36" t="str">
        <x:v>91296123</x:v>
      </x:c>
      <x:c r="C228" s="34" t="str">
        <x:v>Ramiro</x:v>
      </x:c>
      <x:c r="D228" s="34" t="str">
        <x:v>Chaparro Cardozo</x:v>
      </x:c>
      <x:c r="E228" s="34" t="str">
        <x:v>Sin cargo registrado</x:v>
      </x:c>
      <x:c r="F228" s="37"/>
      <x:c r="G228" s="35" t="str">
        <x:v>Activo</x:v>
      </x:c>
      <x:c r="H228" s="154" t="str">
        <x:v>Sin diligenciar</x:v>
      </x:c>
    </x:row>
    <x:row r="229" ht="20" customHeight="1">
      <x:c r="A229" s="35" t="str">
        <x:v>CC</x:v>
      </x:c>
      <x:c r="B229" s="36" t="str">
        <x:v>1005332468</x:v>
      </x:c>
      <x:c r="C229" s="34" t="str">
        <x:v>Liceth Natalia</x:v>
      </x:c>
      <x:c r="D229" s="34" t="str">
        <x:v>Holguin Parada</x:v>
      </x:c>
      <x:c r="E229" s="34" t="str">
        <x:v>Sin cargo registrado</x:v>
      </x:c>
      <x:c r="F229" s="37"/>
      <x:c r="G229" s="35" t="str">
        <x:v>Activo</x:v>
      </x:c>
      <x:c r="H229" s="154" t="str">
        <x:v>Sin diligenciar</x:v>
      </x:c>
    </x:row>
    <x:row r="230" ht="20" customHeight="1">
      <x:c r="A230" s="35" t="str">
        <x:v>CC</x:v>
      </x:c>
      <x:c r="B230" s="36" t="str">
        <x:v>37544141</x:v>
      </x:c>
      <x:c r="C230" s="34" t="str">
        <x:v>Ana Milena</x:v>
      </x:c>
      <x:c r="D230" s="34" t="str">
        <x:v>Moreno Cristancho</x:v>
      </x:c>
      <x:c r="E230" s="34" t="str">
        <x:v>Sin cargo registrado</x:v>
      </x:c>
      <x:c r="F230" s="37"/>
      <x:c r="G230" s="35" t="str">
        <x:v>Activo</x:v>
      </x:c>
      <x:c r="H230" s="154" t="str">
        <x:v>Sin diligenciar</x:v>
      </x:c>
    </x:row>
    <x:row r="231" ht="20" customHeight="1">
      <x:c r="A231" s="39" t="str">
        <x:v>CC</x:v>
      </x:c>
      <x:c r="B231" s="40" t="str">
        <x:v>28151909</x:v>
      </x:c>
      <x:c r="C231" s="38" t="str">
        <x:v>Sonia Amparo</x:v>
      </x:c>
      <x:c r="D231" s="38" t="str">
        <x:v>Rueda Galvis</x:v>
      </x:c>
      <x:c r="E231" s="38" t="str">
        <x:v>Sin cargo registrado</x:v>
      </x:c>
      <x:c r="F231" s="41"/>
      <x:c r="G231" s="39" t="str">
        <x:v>Activo</x:v>
      </x:c>
      <x:c r="H231" s="155" t="str">
        <x:v>Sin diligenciar</x:v>
      </x:c>
    </x:row>
    <x:row r="232">
      <x:c r="A232" s="42"/>
      <x:c r="B232" s="42"/>
      <x:c r="C232" s="42"/>
      <x:c r="D232" s="42"/>
      <x:c r="E232" s="42"/>
      <x:c r="F232" s="42"/>
      <x:c r="G232" s="42"/>
      <x:c r="H232" s="42"/>
    </x:row>
    <x:row r="233" ht="24" customHeight="1">
      <x:c r="A233" s="129" t="str">
        <x:f>"TIBU · "&amp;COUNTIF('Base filtrable'!$A$5:$A$138,"Tibu")&amp;" empleado(s) pendiente(s)"</x:f>
        <x:v>TIBU · 7 empleado(s) pendiente(s)</x:v>
      </x:c>
      <x:c r="B233" s="130"/>
      <x:c r="C233" s="130"/>
      <x:c r="D233" s="130"/>
      <x:c r="E233" s="130"/>
      <x:c r="F233" s="130"/>
      <x:c r="G233" s="130"/>
      <x:c r="H233" s="131"/>
    </x:row>
    <x:row r="234" ht="27" customHeight="1">
      <x:c r="A234" s="142" t="str">
        <x:v>Tipo doc.</x:v>
      </x:c>
      <x:c r="B234" s="143" t="str">
        <x:v>Número de documento</x:v>
      </x:c>
      <x:c r="C234" s="143" t="str">
        <x:v>Nombres</x:v>
      </x:c>
      <x:c r="D234" s="143" t="str">
        <x:v>Apellidos</x:v>
      </x:c>
      <x:c r="E234" s="143" t="str">
        <x:v>Cargo actual</x:v>
      </x:c>
      <x:c r="F234" s="143" t="str">
        <x:v>Fecha de ingreso</x:v>
      </x:c>
      <x:c r="G234" s="143" t="str">
        <x:v>Estado</x:v>
      </x:c>
      <x:c r="H234" s="144" t="str">
        <x:v>Sexo</x:v>
      </x:c>
    </x:row>
    <x:row r="235" ht="20" customHeight="1">
      <x:c r="A235" s="31" t="str">
        <x:v>CC</x:v>
      </x:c>
      <x:c r="B235" s="32" t="str">
        <x:v>6663273</x:v>
      </x:c>
      <x:c r="C235" s="30" t="str">
        <x:v>Berenice</x:v>
      </x:c>
      <x:c r="D235" s="30" t="str">
        <x:v>Bayona Quintero</x:v>
      </x:c>
      <x:c r="E235" s="30" t="str">
        <x:v>Cocinera</x:v>
      </x:c>
      <x:c r="F235" s="33" t="n">
        <x:v>45689</x:v>
      </x:c>
      <x:c r="G235" s="31" t="str">
        <x:v>Activo</x:v>
      </x:c>
      <x:c r="H235" s="153" t="str">
        <x:v>Sin diligenciar</x:v>
      </x:c>
    </x:row>
    <x:row r="236" ht="20" customHeight="1">
      <x:c r="A236" s="35" t="str">
        <x:v>CC</x:v>
      </x:c>
      <x:c r="B236" s="36" t="str">
        <x:v>27601798</x:v>
      </x:c>
      <x:c r="C236" s="34" t="str">
        <x:v>Luzdary</x:v>
      </x:c>
      <x:c r="D236" s="34" t="str">
        <x:v>Duran Torres</x:v>
      </x:c>
      <x:c r="E236" s="34" t="str">
        <x:v>Auxiliar De Aseo Y Cafeteria</x:v>
      </x:c>
      <x:c r="F236" s="37" t="n">
        <x:v>46038</x:v>
      </x:c>
      <x:c r="G236" s="35" t="str">
        <x:v>Activo</x:v>
      </x:c>
      <x:c r="H236" s="154" t="str">
        <x:v>Sin diligenciar</x:v>
      </x:c>
    </x:row>
    <x:row r="237" ht="20" customHeight="1">
      <x:c r="A237" s="35" t="str">
        <x:v>CC</x:v>
      </x:c>
      <x:c r="B237" s="36" t="str">
        <x:v>1054543129</x:v>
      </x:c>
      <x:c r="C237" s="34" t="str">
        <x:v>Jose Andres</x:v>
      </x:c>
      <x:c r="D237" s="34" t="str">
        <x:v>Garcia Garcia</x:v>
      </x:c>
      <x:c r="E237" s="34" t="str">
        <x:v>Cocinero</x:v>
      </x:c>
      <x:c r="F237" s="37" t="n">
        <x:v>45689</x:v>
      </x:c>
      <x:c r="G237" s="35" t="str">
        <x:v>Activo</x:v>
      </x:c>
      <x:c r="H237" s="154" t="str">
        <x:v>Sin diligenciar</x:v>
      </x:c>
    </x:row>
    <x:row r="238" ht="20" customHeight="1">
      <x:c r="A238" s="35" t="str">
        <x:v>CC</x:v>
      </x:c>
      <x:c r="B238" s="36" t="str">
        <x:v>91448691</x:v>
      </x:c>
      <x:c r="C238" s="34" t="str">
        <x:v>Victor Alfonso</x:v>
      </x:c>
      <x:c r="D238" s="34" t="str">
        <x:v>Gonzalez Acosta</x:v>
      </x:c>
      <x:c r="E238" s="34" t="str">
        <x:v>Cocinero</x:v>
      </x:c>
      <x:c r="F238" s="37" t="n">
        <x:v>45689</x:v>
      </x:c>
      <x:c r="G238" s="35" t="str">
        <x:v>Activo</x:v>
      </x:c>
      <x:c r="H238" s="154" t="str">
        <x:v>Sin diligenciar</x:v>
      </x:c>
    </x:row>
    <x:row r="239" ht="20" customHeight="1">
      <x:c r="A239" s="35" t="str">
        <x:v>CC</x:v>
      </x:c>
      <x:c r="B239" s="36" t="str">
        <x:v>13865476</x:v>
      </x:c>
      <x:c r="C239" s="34" t="str">
        <x:v>Ariel</x:v>
      </x:c>
      <x:c r="D239" s="34" t="str">
        <x:v>Hernandez Garcia</x:v>
      </x:c>
      <x:c r="E239" s="34" t="str">
        <x:v>Cocinero</x:v>
      </x:c>
      <x:c r="F239" s="37" t="n">
        <x:v>45689</x:v>
      </x:c>
      <x:c r="G239" s="35" t="str">
        <x:v>Activo</x:v>
      </x:c>
      <x:c r="H239" s="154" t="str">
        <x:v>Sin diligenciar</x:v>
      </x:c>
    </x:row>
    <x:row r="240" ht="20" customHeight="1">
      <x:c r="A240" s="35" t="str">
        <x:v>CC</x:v>
      </x:c>
      <x:c r="B240" s="36" t="str">
        <x:v>63447688</x:v>
      </x:c>
      <x:c r="C240" s="34" t="str">
        <x:v>Martha Patricia</x:v>
      </x:c>
      <x:c r="D240" s="34" t="str">
        <x:v>Medina Diaz</x:v>
      </x:c>
      <x:c r="E240" s="34" t="str">
        <x:v>Supervisor Relevante</x:v>
      </x:c>
      <x:c r="F240" s="37" t="n">
        <x:v>46069</x:v>
      </x:c>
      <x:c r="G240" s="35" t="str">
        <x:v>Activo</x:v>
      </x:c>
      <x:c r="H240" s="154" t="str">
        <x:v>Sin diligenciar</x:v>
      </x:c>
    </x:row>
    <x:row r="241" ht="20" customHeight="1">
      <x:c r="A241" s="39" t="str">
        <x:v>CC</x:v>
      </x:c>
      <x:c r="B241" s="40" t="str">
        <x:v>1005047818</x:v>
      </x:c>
      <x:c r="C241" s="38" t="str">
        <x:v>Gustavo Alexis</x:v>
      </x:c>
      <x:c r="D241" s="38" t="str">
        <x:v>Meneses Buitrago</x:v>
      </x:c>
      <x:c r="E241" s="38" t="str">
        <x:v>Cocinero</x:v>
      </x:c>
      <x:c r="F241" s="41" t="n">
        <x:v>46113</x:v>
      </x:c>
      <x:c r="G241" s="39" t="str">
        <x:v>Activo</x:v>
      </x:c>
      <x:c r="H241" s="155" t="str">
        <x:v>Sin diligenciar</x:v>
      </x:c>
    </x:row>
    <x:row r="242">
      <x:c r="A242" s="42"/>
      <x:c r="B242" s="42"/>
      <x:c r="C242" s="42"/>
      <x:c r="D242" s="42"/>
      <x:c r="E242" s="42"/>
      <x:c r="F242" s="42"/>
      <x:c r="G242" s="42"/>
      <x:c r="H242" s="42"/>
    </x:row>
    <x:row r="243" ht="24" customHeight="1">
      <x:c r="A243" s="129" t="str">
        <x:f>"VELASQUEZ · "&amp;COUNTIF('Base filtrable'!$A$5:$A$138,"Velasquez")&amp;" empleado(s) pendiente(s)"</x:f>
        <x:v>VELASQUEZ · 5 empleado(s) pendiente(s)</x:v>
      </x:c>
      <x:c r="B243" s="130"/>
      <x:c r="C243" s="130"/>
      <x:c r="D243" s="130"/>
      <x:c r="E243" s="130"/>
      <x:c r="F243" s="130"/>
      <x:c r="G243" s="130"/>
      <x:c r="H243" s="131"/>
    </x:row>
    <x:row r="244" ht="27" customHeight="1">
      <x:c r="A244" s="142" t="str">
        <x:v>Tipo doc.</x:v>
      </x:c>
      <x:c r="B244" s="143" t="str">
        <x:v>Número de documento</x:v>
      </x:c>
      <x:c r="C244" s="143" t="str">
        <x:v>Nombres</x:v>
      </x:c>
      <x:c r="D244" s="143" t="str">
        <x:v>Apellidos</x:v>
      </x:c>
      <x:c r="E244" s="143" t="str">
        <x:v>Cargo actual</x:v>
      </x:c>
      <x:c r="F244" s="143" t="str">
        <x:v>Fecha de ingreso</x:v>
      </x:c>
      <x:c r="G244" s="143" t="str">
        <x:v>Estado</x:v>
      </x:c>
      <x:c r="H244" s="144" t="str">
        <x:v>Sexo</x:v>
      </x:c>
    </x:row>
    <x:row r="245" ht="20" customHeight="1">
      <x:c r="A245" s="31" t="str">
        <x:v>CC</x:v>
      </x:c>
      <x:c r="B245" s="32" t="str">
        <x:v>98504614</x:v>
      </x:c>
      <x:c r="C245" s="30" t="str">
        <x:v>Edwin Enrique</x:v>
      </x:c>
      <x:c r="D245" s="30" t="str">
        <x:v>Chacon</x:v>
      </x:c>
      <x:c r="E245" s="30" t="str">
        <x:v>Chef</x:v>
      </x:c>
      <x:c r="F245" s="33" t="n">
        <x:v>45630</x:v>
      </x:c>
      <x:c r="G245" s="31" t="str">
        <x:v>Activo</x:v>
      </x:c>
      <x:c r="H245" s="153" t="str">
        <x:v>Sin diligenciar</x:v>
      </x:c>
    </x:row>
    <x:row r="246" ht="20" customHeight="1">
      <x:c r="A246" s="35" t="str">
        <x:v>CC</x:v>
      </x:c>
      <x:c r="B246" s="36" t="str">
        <x:v>52386993</x:v>
      </x:c>
      <x:c r="C246" s="34" t="str">
        <x:v>Jaquelinne</x:v>
      </x:c>
      <x:c r="D246" s="34" t="str">
        <x:v>Lozano Ortiz</x:v>
      </x:c>
      <x:c r="E246" s="34" t="str">
        <x:v>Auxiliar De Servicios Generales</x:v>
      </x:c>
      <x:c r="F246" s="37" t="n">
        <x:v>45630</x:v>
      </x:c>
      <x:c r="G246" s="35" t="str">
        <x:v>Activo</x:v>
      </x:c>
      <x:c r="H246" s="154" t="str">
        <x:v>Sin diligenciar</x:v>
      </x:c>
    </x:row>
    <x:row r="247" ht="20" customHeight="1">
      <x:c r="A247" s="35" t="str">
        <x:v>CC</x:v>
      </x:c>
      <x:c r="B247" s="36" t="str">
        <x:v>24713999</x:v>
      </x:c>
      <x:c r="C247" s="34" t="str">
        <x:v>Luz Mery</x:v>
      </x:c>
      <x:c r="D247" s="34" t="str">
        <x:v>Patiño</x:v>
      </x:c>
      <x:c r="E247" s="34" t="str">
        <x:v>Auxiliar De Casino</x:v>
      </x:c>
      <x:c r="F247" s="37" t="n">
        <x:v>46001</x:v>
      </x:c>
      <x:c r="G247" s="35" t="str">
        <x:v>Activo</x:v>
      </x:c>
      <x:c r="H247" s="154" t="str">
        <x:v>Sin diligenciar</x:v>
      </x:c>
    </x:row>
    <x:row r="248" ht="20" customHeight="1">
      <x:c r="A248" s="35" t="str">
        <x:v>CC</x:v>
      </x:c>
      <x:c r="B248" s="36" t="str">
        <x:v>46646731</x:v>
      </x:c>
      <x:c r="C248" s="34" t="str">
        <x:v>Consuelo</x:v>
      </x:c>
      <x:c r="D248" s="34" t="str">
        <x:v>Suarez Villalba</x:v>
      </x:c>
      <x:c r="E248" s="34" t="str">
        <x:v>Cocinera</x:v>
      </x:c>
      <x:c r="F248" s="37" t="n">
        <x:v>45756</x:v>
      </x:c>
      <x:c r="G248" s="35" t="str">
        <x:v>Activo</x:v>
      </x:c>
      <x:c r="H248" s="154" t="str">
        <x:v>Sin diligenciar</x:v>
      </x:c>
    </x:row>
    <x:row r="249" ht="20" customHeight="1">
      <x:c r="A249" s="39" t="str">
        <x:v>CC</x:v>
      </x:c>
      <x:c r="B249" s="40" t="str">
        <x:v>1056773603</x:v>
      </x:c>
      <x:c r="C249" s="38" t="str">
        <x:v>Hernan Dario</x:v>
      </x:c>
      <x:c r="D249" s="38" t="str">
        <x:v>Suaza Torres</x:v>
      </x:c>
      <x:c r="E249" s="38" t="str">
        <x:v>Bodeguero</x:v>
      </x:c>
      <x:c r="F249" s="41" t="n">
        <x:v>45871</x:v>
      </x:c>
      <x:c r="G249" s="39" t="str">
        <x:v>Activo</x:v>
      </x:c>
      <x:c r="H249" s="155" t="str">
        <x:v>Sin diligenciar</x:v>
      </x:c>
    </x:row>
  </x:sheetData>
  <x:mergeCells>
    <x:mergeCell ref="A1:H1"/>
    <x:mergeCell ref="A2:H2"/>
    <x:mergeCell ref="A4:H4"/>
    <x:mergeCell ref="A6:H6"/>
    <x:mergeCell ref="A10:H10"/>
    <x:mergeCell ref="A18:H18"/>
    <x:mergeCell ref="A23:H23"/>
    <x:mergeCell ref="A27:H27"/>
    <x:mergeCell ref="A31:H31"/>
    <x:mergeCell ref="A39:H39"/>
    <x:mergeCell ref="A45:H45"/>
    <x:mergeCell ref="A50:H50"/>
    <x:mergeCell ref="A63:H63"/>
    <x:mergeCell ref="A72:H72"/>
    <x:mergeCell ref="A76:H76"/>
    <x:mergeCell ref="A81:H81"/>
    <x:mergeCell ref="A87:H87"/>
    <x:mergeCell ref="A91:H91"/>
    <x:mergeCell ref="A107:H107"/>
    <x:mergeCell ref="A115:H115"/>
    <x:mergeCell ref="A119:H119"/>
    <x:mergeCell ref="A123:H123"/>
    <x:mergeCell ref="A133:H133"/>
    <x:mergeCell ref="A137:H137"/>
    <x:mergeCell ref="A142:H142"/>
    <x:mergeCell ref="A146:H146"/>
    <x:mergeCell ref="A152:H152"/>
    <x:mergeCell ref="A157:H157"/>
    <x:mergeCell ref="A163:H163"/>
    <x:mergeCell ref="A175:H175"/>
    <x:mergeCell ref="A180:H180"/>
    <x:mergeCell ref="A188:H188"/>
    <x:mergeCell ref="A192:H192"/>
    <x:mergeCell ref="A198:H198"/>
    <x:mergeCell ref="A202:H202"/>
    <x:mergeCell ref="A210:H210"/>
    <x:mergeCell ref="A214:H214"/>
    <x:mergeCell ref="A223:H223"/>
    <x:mergeCell ref="A233:H233"/>
    <x:mergeCell ref="A243:H24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1" hidden="0" customWidth="1"/>
    <x:col min="4" max="4" width="19" hidden="0" customWidth="1"/>
    <x:col min="5" max="5" width="25" hidden="0" customWidth="1"/>
    <x:col min="6" max="6" width="25" hidden="0" customWidth="1"/>
    <x:col min="7" max="7" width="34" hidden="0" customWidth="1"/>
    <x:col min="8" max="8" width="16" hidden="0" customWidth="1"/>
    <x:col min="9" max="9" width="12" hidden="0" customWidth="1"/>
    <x:col min="10" max="10" width="19" hidden="0" customWidth="1"/>
  </x:cols>
  <x:sheetData>
    <x:row r="1" ht="32" customHeight="1">
      <x:c r="A1" s="11" t="str">
        <x:v>Base filtrable · empleados activos sin sexo diligenciado</x:v>
      </x:c>
      <x:c r="B1" s="11"/>
      <x:c r="C1" s="11"/>
      <x:c r="D1" s="11"/>
      <x:c r="E1" s="11"/>
      <x:c r="F1" s="11"/>
      <x:c r="G1" s="11"/>
      <x:c r="H1" s="11"/>
      <x:c r="I1" s="11"/>
      <x:c r="J1" s="11"/>
    </x:row>
    <x:row r="2">
      <x:c r="A2" s="13" t="str">
        <x:v>Petrocasinos S.A. · Corte: 11 de agosto de 2026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>
      <x:c r="A3" s="15" t="str">
        <x:v>Use los filtros de los encabezados para buscar por centro, documento, nombre o cargo.</x:v>
      </x:c>
      <x:c r="B3" s="15"/>
      <x:c r="C3" s="15"/>
      <x:c r="D3" s="15"/>
      <x:c r="E3" s="15"/>
      <x:c r="F3" s="15"/>
      <x:c r="G3" s="15"/>
      <x:c r="H3" s="15"/>
      <x:c r="I3" s="15"/>
      <x:c r="J3" s="15"/>
    </x:row>
    <x:row r="4" ht="30" customHeight="1">
      <x:c r="A4" s="27" t="str">
        <x:v>Centro de operación</x:v>
      </x:c>
      <x:c r="B4" s="28" t="str">
        <x:v>Código</x:v>
      </x:c>
      <x:c r="C4" s="28" t="str">
        <x:v>Tipo doc.</x:v>
      </x:c>
      <x:c r="D4" s="28" t="str">
        <x:v>Número de documento</x:v>
      </x:c>
      <x:c r="E4" s="28" t="str">
        <x:v>Nombres</x:v>
      </x:c>
      <x:c r="F4" s="28" t="str">
        <x:v>Apellidos</x:v>
      </x:c>
      <x:c r="G4" s="28" t="str">
        <x:v>Cargo actual</x:v>
      </x:c>
      <x:c r="H4" s="28" t="str">
        <x:v>Fecha de ingreso</x:v>
      </x:c>
      <x:c r="I4" s="28" t="str">
        <x:v>Estado</x:v>
      </x:c>
      <x:c r="J4" s="29" t="str">
        <x:v>Sexo</x:v>
      </x:c>
    </x:row>
    <x:row r="5" ht="20" customHeight="1">
      <x:c r="A5" s="30" t="str">
        <x:v>Cantagallo</x:v>
      </x:c>
      <x:c r="B5" s="30" t="str"/>
      <x:c r="C5" s="31" t="str">
        <x:v>CC</x:v>
      </x:c>
      <x:c r="D5" s="32" t="str">
        <x:v>1012396366</x:v>
      </x:c>
      <x:c r="E5" s="30" t="str">
        <x:v>Jhon Brayan</x:v>
      </x:c>
      <x:c r="F5" s="30" t="str">
        <x:v>Silva Gomez</x:v>
      </x:c>
      <x:c r="G5" s="30" t="str">
        <x:v>Supervisor</x:v>
      </x:c>
      <x:c r="H5" s="33" t="n">
        <x:v>44999</x:v>
      </x:c>
      <x:c r="I5" s="31" t="str">
        <x:v>Activo</x:v>
      </x:c>
      <x:c r="J5" s="31" t="str">
        <x:v>Sin diligenciar</x:v>
      </x:c>
    </x:row>
    <x:row r="6" ht="20" customHeight="1">
      <x:c r="A6" s="34" t="str">
        <x:v>Caricare</x:v>
      </x:c>
      <x:c r="B6" s="34" t="str"/>
      <x:c r="C6" s="35" t="str">
        <x:v>CC</x:v>
      </x:c>
      <x:c r="D6" s="36" t="str">
        <x:v>1005275355</x:v>
      </x:c>
      <x:c r="E6" s="34" t="str">
        <x:v>Arley Ruiz</x:v>
      </x:c>
      <x:c r="F6" s="34" t="str">
        <x:v>Burgos Ruiz</x:v>
      </x:c>
      <x:c r="G6" s="34" t="str">
        <x:v>Auxiliar De Cocina</x:v>
      </x:c>
      <x:c r="H6" s="37" t="n">
        <x:v>45793</x:v>
      </x:c>
      <x:c r="I6" s="35" t="str">
        <x:v>Activo</x:v>
      </x:c>
      <x:c r="J6" s="35" t="str">
        <x:v>Sin diligenciar</x:v>
      </x:c>
    </x:row>
    <x:row r="7" ht="20" customHeight="1">
      <x:c r="A7" s="34" t="str">
        <x:v>Caricare</x:v>
      </x:c>
      <x:c r="B7" s="34" t="str"/>
      <x:c r="C7" s="35" t="str">
        <x:v>CC</x:v>
      </x:c>
      <x:c r="D7" s="36" t="str">
        <x:v>68249366</x:v>
      </x:c>
      <x:c r="E7" s="34" t="str">
        <x:v>Floricel '</x:v>
      </x:c>
      <x:c r="F7" s="34" t="str">
        <x:v>Osorio Basallo</x:v>
      </x:c>
      <x:c r="G7" s="34" t="str">
        <x:v>Auxiliar De Cocina</x:v>
      </x:c>
      <x:c r="H7" s="37" t="n">
        <x:v>45900</x:v>
      </x:c>
      <x:c r="I7" s="35" t="str">
        <x:v>Activo</x:v>
      </x:c>
      <x:c r="J7" s="35" t="str">
        <x:v>Sin diligenciar</x:v>
      </x:c>
    </x:row>
    <x:row r="8" ht="20" customHeight="1">
      <x:c r="A8" s="34" t="str">
        <x:v>Caricare</x:v>
      </x:c>
      <x:c r="B8" s="34" t="str"/>
      <x:c r="C8" s="35" t="str">
        <x:v>CC</x:v>
      </x:c>
      <x:c r="D8" s="36" t="str">
        <x:v>1007359127</x:v>
      </x:c>
      <x:c r="E8" s="34" t="str">
        <x:v>Yeiber '</x:v>
      </x:c>
      <x:c r="F8" s="34" t="str">
        <x:v>Sandoval Barrera</x:v>
      </x:c>
      <x:c r="G8" s="34" t="str">
        <x:v>Cuadrillo</x:v>
      </x:c>
      <x:c r="H8" s="37" t="n">
        <x:v>45931</x:v>
      </x:c>
      <x:c r="I8" s="35" t="str">
        <x:v>Activo</x:v>
      </x:c>
      <x:c r="J8" s="35" t="str">
        <x:v>Sin diligenciar</x:v>
      </x:c>
    </x:row>
    <x:row r="9" ht="20" customHeight="1">
      <x:c r="A9" s="34" t="str">
        <x:v>Caricare</x:v>
      </x:c>
      <x:c r="B9" s="34" t="str"/>
      <x:c r="C9" s="35" t="str">
        <x:v>CC</x:v>
      </x:c>
      <x:c r="D9" s="36" t="str">
        <x:v>1007167784</x:v>
      </x:c>
      <x:c r="E9" s="34" t="str">
        <x:v>Michell Estrella</x:v>
      </x:c>
      <x:c r="F9" s="34" t="str">
        <x:v>Sequera Soto</x:v>
      </x:c>
      <x:c r="G9" s="34" t="str">
        <x:v>Auxiliar De Aseo</x:v>
      </x:c>
      <x:c r="H9" s="37" t="n">
        <x:v>45946</x:v>
      </x:c>
      <x:c r="I9" s="35" t="str">
        <x:v>Activo</x:v>
      </x:c>
      <x:c r="J9" s="35" t="str">
        <x:v>Sin diligenciar</x:v>
      </x:c>
    </x:row>
    <x:row r="10" ht="20" customHeight="1">
      <x:c r="A10" s="34" t="str">
        <x:v>Caricare</x:v>
      </x:c>
      <x:c r="B10" s="34" t="str"/>
      <x:c r="C10" s="35" t="str">
        <x:v>CC</x:v>
      </x:c>
      <x:c r="D10" s="36" t="str">
        <x:v>1024495160</x:v>
      </x:c>
      <x:c r="E10" s="34" t="str">
        <x:v>Meylen Soley</x:v>
      </x:c>
      <x:c r="F10" s="34" t="str">
        <x:v>Vera Rodriguez</x:v>
      </x:c>
      <x:c r="G10" s="34" t="str">
        <x:v>Auxiliar De Aseo</x:v>
      </x:c>
      <x:c r="H10" s="37" t="n">
        <x:v>46133</x:v>
      </x:c>
      <x:c r="I10" s="35" t="str">
        <x:v>Activo</x:v>
      </x:c>
      <x:c r="J10" s="35" t="str">
        <x:v>Sin diligenciar</x:v>
      </x:c>
    </x:row>
    <x:row r="11" ht="20" customHeight="1">
      <x:c r="A11" s="34" t="str">
        <x:v>Casabe</x:v>
      </x:c>
      <x:c r="B11" s="34" t="str"/>
      <x:c r="C11" s="35" t="str">
        <x:v>CC</x:v>
      </x:c>
      <x:c r="D11" s="36" t="str">
        <x:v>37577434</x:v>
      </x:c>
      <x:c r="E11" s="34" t="str">
        <x:v>Heiny Tatiana</x:v>
      </x:c>
      <x:c r="F11" s="34" t="str">
        <x:v>Chaves Caceres</x:v>
      </x:c>
      <x:c r="G11" s="34" t="str">
        <x:v>Auxiliar De Aseo Y Cafeteria</x:v>
      </x:c>
      <x:c r="H11" s="37" t="n">
        <x:v>46073</x:v>
      </x:c>
      <x:c r="I11" s="35" t="str">
        <x:v>Activo</x:v>
      </x:c>
      <x:c r="J11" s="35" t="str">
        <x:v>Sin diligenciar</x:v>
      </x:c>
    </x:row>
    <x:row r="12" ht="20" customHeight="1">
      <x:c r="A12" s="34" t="str">
        <x:v>Casabe</x:v>
      </x:c>
      <x:c r="B12" s="34" t="str"/>
      <x:c r="C12" s="35" t="str">
        <x:v>CC</x:v>
      </x:c>
      <x:c r="D12" s="36" t="str">
        <x:v>1042214506</x:v>
      </x:c>
      <x:c r="E12" s="34" t="str">
        <x:v>Jose Armando</x:v>
      </x:c>
      <x:c r="F12" s="34" t="str">
        <x:v>Vergara Escobar</x:v>
      </x:c>
      <x:c r="G12" s="34" t="str">
        <x:v>Conductor Lonchero</x:v>
      </x:c>
      <x:c r="H12" s="37" t="n">
        <x:v>46133</x:v>
      </x:c>
      <x:c r="I12" s="35" t="str">
        <x:v>Activo</x:v>
      </x:c>
      <x:c r="J12" s="35" t="str">
        <x:v>Sin diligenciar</x:v>
      </x:c>
    </x:row>
    <x:row r="13" ht="20" customHeight="1">
      <x:c r="A13" s="34" t="str">
        <x:v>Cenit Aseo Banadia</x:v>
      </x:c>
      <x:c r="B13" s="34" t="str"/>
      <x:c r="C13" s="35" t="str">
        <x:v>CC</x:v>
      </x:c>
      <x:c r="D13" s="36" t="str">
        <x:v>1115750500</x:v>
      </x:c>
      <x:c r="E13" s="34" t="str">
        <x:v>Sandra Tibisay</x:v>
      </x:c>
      <x:c r="F13" s="34" t="str">
        <x:v>Acosta Zuñiga</x:v>
      </x:c>
      <x:c r="G13" s="34" t="str">
        <x:v>Auxiliar De Aseo Y Cafeteria</x:v>
      </x:c>
      <x:c r="H13" s="37" t="n">
        <x:v>45901</x:v>
      </x:c>
      <x:c r="I13" s="35" t="str">
        <x:v>Activo</x:v>
      </x:c>
      <x:c r="J13" s="35" t="str">
        <x:v>Sin diligenciar</x:v>
      </x:c>
    </x:row>
    <x:row r="14" ht="20" customHeight="1">
      <x:c r="A14" s="34" t="str">
        <x:v>Clinica Bucaramanga</x:v>
      </x:c>
      <x:c r="B14" s="34" t="str"/>
      <x:c r="C14" s="35" t="str">
        <x:v>CC</x:v>
      </x:c>
      <x:c r="D14" s="36" t="str">
        <x:v>1121300653</x:v>
      </x:c>
      <x:c r="E14" s="34" t="str">
        <x:v>Marley Viviana</x:v>
      </x:c>
      <x:c r="F14" s="34" t="str">
        <x:v>Rendon Estrada</x:v>
      </x:c>
      <x:c r="G14" s="34" t="str">
        <x:v>Auxiliares De  Servicios Hospitalarios</x:v>
      </x:c>
      <x:c r="H14" s="37" t="n">
        <x:v>45290</x:v>
      </x:c>
      <x:c r="I14" s="35" t="str">
        <x:v>Activo</x:v>
      </x:c>
      <x:c r="J14" s="35" t="str">
        <x:v>Sin diligenciar</x:v>
      </x:c>
    </x:row>
    <x:row r="15" ht="20" customHeight="1">
      <x:c r="A15" s="34" t="str">
        <x:v>Colegio Caldas</x:v>
      </x:c>
      <x:c r="B15" s="34" t="str"/>
      <x:c r="C15" s="35" t="str">
        <x:v>CC</x:v>
      </x:c>
      <x:c r="D15" s="36" t="str">
        <x:v>91539979</x:v>
      </x:c>
      <x:c r="E15" s="34" t="str">
        <x:v>Milton Eliecer</x:v>
      </x:c>
      <x:c r="F15" s="34" t="str">
        <x:v>Arenas Higuera</x:v>
      </x:c>
      <x:c r="G15" s="34" t="str">
        <x:v>Aprendiz Sena Productiva</x:v>
      </x:c>
      <x:c r="H15" s="37" t="n">
        <x:v>46077</x:v>
      </x:c>
      <x:c r="I15" s="35" t="str">
        <x:v>Activo</x:v>
      </x:c>
      <x:c r="J15" s="35" t="str">
        <x:v>Sin diligenciar</x:v>
      </x:c>
    </x:row>
    <x:row r="16" ht="20" customHeight="1">
      <x:c r="A16" s="34" t="str">
        <x:v>Colegio Caldas</x:v>
      </x:c>
      <x:c r="B16" s="34" t="str"/>
      <x:c r="C16" s="35" t="str">
        <x:v>CC</x:v>
      </x:c>
      <x:c r="D16" s="36" t="str">
        <x:v>52077537</x:v>
      </x:c>
      <x:c r="E16" s="34" t="str">
        <x:v>Carmenza</x:v>
      </x:c>
      <x:c r="F16" s="34" t="str">
        <x:v>Arias Rodriguez</x:v>
      </x:c>
      <x:c r="G16" s="34" t="str">
        <x:v>Jefe De Cocina</x:v>
      </x:c>
      <x:c r="H16" s="37" t="n">
        <x:v>41470</x:v>
      </x:c>
      <x:c r="I16" s="35" t="str">
        <x:v>Activo</x:v>
      </x:c>
      <x:c r="J16" s="35" t="str">
        <x:v>Sin diligenciar</x:v>
      </x:c>
    </x:row>
    <x:row r="17" ht="20" customHeight="1">
      <x:c r="A17" s="34" t="str">
        <x:v>Colegio Caldas</x:v>
      </x:c>
      <x:c r="B17" s="34" t="str"/>
      <x:c r="C17" s="35" t="str">
        <x:v>CC</x:v>
      </x:c>
      <x:c r="D17" s="36" t="str">
        <x:v>63502982</x:v>
      </x:c>
      <x:c r="E17" s="34" t="str">
        <x:v>Claudia Cecilia</x:v>
      </x:c>
      <x:c r="F17" s="34" t="str">
        <x:v>Diaz Maldonado</x:v>
      </x:c>
      <x:c r="G17" s="34" t="str">
        <x:v>Supervisor De Alimentos</x:v>
      </x:c>
      <x:c r="H17" s="37" t="n">
        <x:v>44235</x:v>
      </x:c>
      <x:c r="I17" s="35" t="str">
        <x:v>Activo</x:v>
      </x:c>
      <x:c r="J17" s="35" t="str">
        <x:v>Sin diligenciar</x:v>
      </x:c>
    </x:row>
    <x:row r="18" ht="20" customHeight="1">
      <x:c r="A18" s="34" t="str">
        <x:v>Colegio Caldas</x:v>
      </x:c>
      <x:c r="B18" s="34" t="str"/>
      <x:c r="C18" s="35" t="str">
        <x:v>CC</x:v>
      </x:c>
      <x:c r="D18" s="36" t="str">
        <x:v>1091656816</x:v>
      </x:c>
      <x:c r="E18" s="34" t="str">
        <x:v>Luisa Katalina</x:v>
      </x:c>
      <x:c r="F18" s="34" t="str">
        <x:v>Peñaranda Ojeda</x:v>
      </x:c>
      <x:c r="G18" s="34" t="str">
        <x:v>Auxiliar Administrativa</x:v>
      </x:c>
      <x:c r="H18" s="37" t="n">
        <x:v>46118</x:v>
      </x:c>
      <x:c r="I18" s="35" t="str">
        <x:v>Activo</x:v>
      </x:c>
      <x:c r="J18" s="35" t="str">
        <x:v>Sin diligenciar</x:v>
      </x:c>
    </x:row>
    <x:row r="19" ht="20" customHeight="1">
      <x:c r="A19" s="34" t="str">
        <x:v>Colegio Caldas</x:v>
      </x:c>
      <x:c r="B19" s="34" t="str"/>
      <x:c r="C19" s="35" t="str">
        <x:v>CC</x:v>
      </x:c>
      <x:c r="D19" s="36" t="str">
        <x:v>1005339825</x:v>
      </x:c>
      <x:c r="E19" s="34" t="str">
        <x:v>Jessica Andrea</x:v>
      </x:c>
      <x:c r="F19" s="34" t="str">
        <x:v>Sanabria Rosas</x:v>
      </x:c>
      <x:c r="G19" s="34" t="str">
        <x:v>Auxiliar De Cocina</x:v>
      </x:c>
      <x:c r="H19" s="37" t="n">
        <x:v>46118</x:v>
      </x:c>
      <x:c r="I19" s="35" t="str">
        <x:v>Activo</x:v>
      </x:c>
      <x:c r="J19" s="35" t="str">
        <x:v>Sin diligenciar</x:v>
      </x:c>
    </x:row>
    <x:row r="20" ht="20" customHeight="1">
      <x:c r="A20" s="34" t="str">
        <x:v>Cpa Bucaramanga Km4</x:v>
      </x:c>
      <x:c r="B20" s="34" t="str"/>
      <x:c r="C20" s="35" t="str">
        <x:v>CC</x:v>
      </x:c>
      <x:c r="D20" s="36" t="str">
        <x:v>30208334</x:v>
      </x:c>
      <x:c r="E20" s="34" t="str">
        <x:v>Carmen Rosa</x:v>
      </x:c>
      <x:c r="F20" s="34" t="str">
        <x:v>Liebano Gutierrez</x:v>
      </x:c>
      <x:c r="G20" s="34" t="str">
        <x:v>Jefe De Cocina(Programas Especiales)</x:v>
      </x:c>
      <x:c r="H20" s="37" t="n">
        <x:v>44956</x:v>
      </x:c>
      <x:c r="I20" s="35" t="str">
        <x:v>Activo</x:v>
      </x:c>
      <x:c r="J20" s="35" t="str">
        <x:v>Sin diligenciar</x:v>
      </x:c>
    </x:row>
    <x:row r="21" ht="20" customHeight="1">
      <x:c r="A21" s="34" t="str">
        <x:v>Cpa Bucaramanga Km4</x:v>
      </x:c>
      <x:c r="B21" s="34" t="str"/>
      <x:c r="C21" s="35" t="str">
        <x:v>PPT</x:v>
      </x:c>
      <x:c r="D21" s="36" t="str">
        <x:v>6887309</x:v>
      </x:c>
      <x:c r="E21" s="34" t="str">
        <x:v>Jose Alejandro</x:v>
      </x:c>
      <x:c r="F21" s="34" t="str">
        <x:v>Loyo Salazar</x:v>
      </x:c>
      <x:c r="G21" s="34" t="str">
        <x:v>Auxiliar De Cocina</x:v>
      </x:c>
      <x:c r="H21" s="37" t="n">
        <x:v>46062</x:v>
      </x:c>
      <x:c r="I21" s="35" t="str">
        <x:v>Activo</x:v>
      </x:c>
      <x:c r="J21" s="35" t="str">
        <x:v>Sin diligenciar</x:v>
      </x:c>
    </x:row>
    <x:row r="22" ht="20" customHeight="1">
      <x:c r="A22" s="34" t="str">
        <x:v>Cpa Bucaramanga Km4</x:v>
      </x:c>
      <x:c r="B22" s="34" t="str"/>
      <x:c r="C22" s="35" t="str">
        <x:v>CC</x:v>
      </x:c>
      <x:c r="D22" s="36" t="str">
        <x:v>13872933</x:v>
      </x:c>
      <x:c r="E22" s="34" t="str">
        <x:v>Carlos</x:v>
      </x:c>
      <x:c r="F22" s="34" t="str">
        <x:v>Villamizar Sanchez</x:v>
      </x:c>
      <x:c r="G22" s="34" t="str">
        <x:v>Conductor</x:v>
      </x:c>
      <x:c r="H22" s="37" t="n">
        <x:v>46055</x:v>
      </x:c>
      <x:c r="I22" s="35" t="str">
        <x:v>Activo</x:v>
      </x:c>
      <x:c r="J22" s="35" t="str">
        <x:v>Sin diligenciar</x:v>
      </x:c>
    </x:row>
    <x:row r="23" ht="20" customHeight="1">
      <x:c r="A23" s="34" t="str">
        <x:v>Cpa Calle 38</x:v>
      </x:c>
      <x:c r="B23" s="34" t="str"/>
      <x:c r="C23" s="35" t="str">
        <x:v>CC</x:v>
      </x:c>
      <x:c r="D23" s="36" t="str">
        <x:v>63310121</x:v>
      </x:c>
      <x:c r="E23" s="34" t="str">
        <x:v>Doris Cecilia</x:v>
      </x:c>
      <x:c r="F23" s="34" t="str">
        <x:v>Orduz Rodriguez</x:v>
      </x:c>
      <x:c r="G23" s="34" t="str">
        <x:v>Jefe De Cocina(Programas Especiales)</x:v>
      </x:c>
      <x:c r="H23" s="37" t="n">
        <x:v>44235</x:v>
      </x:c>
      <x:c r="I23" s="35" t="str">
        <x:v>Activo</x:v>
      </x:c>
      <x:c r="J23" s="35" t="str">
        <x:v>Sin diligenciar</x:v>
      </x:c>
    </x:row>
    <x:row r="24" ht="20" customHeight="1">
      <x:c r="A24" s="34" t="str">
        <x:v>Cpa Calle 38</x:v>
      </x:c>
      <x:c r="B24" s="34" t="str"/>
      <x:c r="C24" s="35" t="str">
        <x:v>CC</x:v>
      </x:c>
      <x:c r="D24" s="36" t="str">
        <x:v>91157632</x:v>
      </x:c>
      <x:c r="E24" s="34" t="str">
        <x:v>Gerardo</x:v>
      </x:c>
      <x:c r="F24" s="34" t="str">
        <x:v>Vargas Ramirez</x:v>
      </x:c>
      <x:c r="G24" s="34" t="str">
        <x:v>Conductor</x:v>
      </x:c>
      <x:c r="H24" s="37" t="n">
        <x:v>45971</x:v>
      </x:c>
      <x:c r="I24" s="35" t="str">
        <x:v>Activo</x:v>
      </x:c>
      <x:c r="J24" s="35" t="str">
        <x:v>Sin diligenciar</x:v>
      </x:c>
    </x:row>
    <x:row r="25" ht="20" customHeight="1">
      <x:c r="A25" s="34" t="str">
        <x:v>El Centro</x:v>
      </x:c>
      <x:c r="B25" s="34" t="str"/>
      <x:c r="C25" s="35" t="str">
        <x:v>CC</x:v>
      </x:c>
      <x:c r="D25" s="36" t="str">
        <x:v>22477762</x:v>
      </x:c>
      <x:c r="E25" s="34" t="str">
        <x:v>Maria Victoria</x:v>
      </x:c>
      <x:c r="F25" s="34" t="str">
        <x:v>Carrasquilla Mardini</x:v>
      </x:c>
      <x:c r="G25" s="34" t="str">
        <x:v>Nutricionista</x:v>
      </x:c>
      <x:c r="H25" s="37" t="n">
        <x:v>45717</x:v>
      </x:c>
      <x:c r="I25" s="35" t="str">
        <x:v>Activo</x:v>
      </x:c>
      <x:c r="J25" s="35" t="str">
        <x:v>Sin diligenciar</x:v>
      </x:c>
    </x:row>
    <x:row r="26" ht="20" customHeight="1">
      <x:c r="A26" s="34" t="str">
        <x:v>El Centro</x:v>
      </x:c>
      <x:c r="B26" s="34" t="str"/>
      <x:c r="C26" s="35" t="str">
        <x:v>CC</x:v>
      </x:c>
      <x:c r="D26" s="36" t="str">
        <x:v>74360216</x:v>
      </x:c>
      <x:c r="E26" s="34" t="str">
        <x:v>Rafael Antonio</x:v>
      </x:c>
      <x:c r="F26" s="34" t="str">
        <x:v>Gonzalez Camargo</x:v>
      </x:c>
      <x:c r="G26" s="34" t="str">
        <x:v>Supervisor Relevante</x:v>
      </x:c>
      <x:c r="H26" s="37" t="n">
        <x:v>45716</x:v>
      </x:c>
      <x:c r="I26" s="35" t="str">
        <x:v>Activo</x:v>
      </x:c>
      <x:c r="J26" s="35" t="str">
        <x:v>Sin diligenciar</x:v>
      </x:c>
    </x:row>
    <x:row r="27" ht="20" customHeight="1">
      <x:c r="A27" s="34" t="str">
        <x:v>El Centro</x:v>
      </x:c>
      <x:c r="B27" s="34" t="str"/>
      <x:c r="C27" s="35" t="str">
        <x:v>CC</x:v>
      </x:c>
      <x:c r="D27" s="36" t="str">
        <x:v>1005772329</x:v>
      </x:c>
      <x:c r="E27" s="34" t="str">
        <x:v>Liceth Paola</x:v>
      </x:c>
      <x:c r="F27" s="34" t="str">
        <x:v>Gonzalez Triana</x:v>
      </x:c>
      <x:c r="G27" s="34" t="str">
        <x:v>Auxiliar De Cocina</x:v>
      </x:c>
      <x:c r="H27" s="37" t="n">
        <x:v>45966</x:v>
      </x:c>
      <x:c r="I27" s="35" t="str">
        <x:v>Activo</x:v>
      </x:c>
      <x:c r="J27" s="35" t="str">
        <x:v>Sin diligenciar</x:v>
      </x:c>
    </x:row>
    <x:row r="28" ht="20" customHeight="1">
      <x:c r="A28" s="34" t="str">
        <x:v>El Centro</x:v>
      </x:c>
      <x:c r="B28" s="34" t="str"/>
      <x:c r="C28" s="35" t="str">
        <x:v>CC</x:v>
      </x:c>
      <x:c r="D28" s="36" t="str">
        <x:v>1122141334</x:v>
      </x:c>
      <x:c r="E28" s="34" t="str">
        <x:v>ANGIE DANIELA</x:v>
      </x:c>
      <x:c r="F28" s="34" t="str">
        <x:v>LEON LOPEZ</x:v>
      </x:c>
      <x:c r="G28" s="34" t="str">
        <x:v>AUXILIAR DE COCINA</x:v>
      </x:c>
      <x:c r="H28" s="37" t="n">
        <x:v>46232</x:v>
      </x:c>
      <x:c r="I28" s="35" t="str">
        <x:v>Activo</x:v>
      </x:c>
      <x:c r="J28" s="35" t="str">
        <x:v>Sin diligenciar</x:v>
      </x:c>
    </x:row>
    <x:row r="29" ht="20" customHeight="1">
      <x:c r="A29" s="34" t="str">
        <x:v>El Centro</x:v>
      </x:c>
      <x:c r="B29" s="34" t="str"/>
      <x:c r="C29" s="35" t="str">
        <x:v>CC</x:v>
      </x:c>
      <x:c r="D29" s="36" t="str">
        <x:v>22642506</x:v>
      </x:c>
      <x:c r="E29" s="34" t="str">
        <x:v>Maria Jimena</x:v>
      </x:c>
      <x:c r="F29" s="34" t="str">
        <x:v>Morales</x:v>
      </x:c>
      <x:c r="G29" s="34" t="str">
        <x:v>Auxiliar De Cocina</x:v>
      </x:c>
      <x:c r="H29" s="37" t="n">
        <x:v>45992</x:v>
      </x:c>
      <x:c r="I29" s="35" t="str">
        <x:v>Activo</x:v>
      </x:c>
      <x:c r="J29" s="35" t="str">
        <x:v>Sin diligenciar</x:v>
      </x:c>
    </x:row>
    <x:row r="30" ht="20" customHeight="1">
      <x:c r="A30" s="34" t="str">
        <x:v>El Centro</x:v>
      </x:c>
      <x:c r="B30" s="34" t="str"/>
      <x:c r="C30" s="35" t="str">
        <x:v>CC</x:v>
      </x:c>
      <x:c r="D30" s="36" t="str">
        <x:v>1096203835</x:v>
      </x:c>
      <x:c r="E30" s="34" t="str">
        <x:v>Katherine</x:v>
      </x:c>
      <x:c r="F30" s="34" t="str">
        <x:v>Ñera Saavedra</x:v>
      </x:c>
      <x:c r="G30" s="34" t="str">
        <x:v>Cocinera</x:v>
      </x:c>
      <x:c r="H30" s="37" t="n">
        <x:v>45719</x:v>
      </x:c>
      <x:c r="I30" s="35" t="str">
        <x:v>Activo</x:v>
      </x:c>
      <x:c r="J30" s="35" t="str">
        <x:v>Sin diligenciar</x:v>
      </x:c>
    </x:row>
    <x:row r="31" ht="20" customHeight="1">
      <x:c r="A31" s="34" t="str">
        <x:v>El Centro</x:v>
      </x:c>
      <x:c r="B31" s="34" t="str"/>
      <x:c r="C31" s="35" t="str">
        <x:v>CC</x:v>
      </x:c>
      <x:c r="D31" s="36" t="str">
        <x:v>1096246726</x:v>
      </x:c>
      <x:c r="E31" s="34" t="str">
        <x:v>Ibet Alejandra</x:v>
      </x:c>
      <x:c r="F31" s="34" t="str">
        <x:v>Ortiz Villabona</x:v>
      </x:c>
      <x:c r="G31" s="34" t="str">
        <x:v>Auxiliar De Cocina</x:v>
      </x:c>
      <x:c r="H31" s="37" t="n">
        <x:v>45966</x:v>
      </x:c>
      <x:c r="I31" s="35" t="str">
        <x:v>Activo</x:v>
      </x:c>
      <x:c r="J31" s="35" t="str">
        <x:v>Sin diligenciar</x:v>
      </x:c>
    </x:row>
    <x:row r="32" ht="20" customHeight="1">
      <x:c r="A32" s="34" t="str">
        <x:v>El Centro</x:v>
      </x:c>
      <x:c r="B32" s="34" t="str"/>
      <x:c r="C32" s="35" t="str">
        <x:v>CC</x:v>
      </x:c>
      <x:c r="D32" s="36" t="str">
        <x:v>91433397</x:v>
      </x:c>
      <x:c r="E32" s="34" t="str">
        <x:v>Jhonny</x:v>
      </x:c>
      <x:c r="F32" s="34" t="str">
        <x:v>Ramirez Reyes</x:v>
      </x:c>
      <x:c r="G32" s="34" t="str">
        <x:v>Conductor Lonchero</x:v>
      </x:c>
      <x:c r="H32" s="37" t="n">
        <x:v>46054</x:v>
      </x:c>
      <x:c r="I32" s="35" t="str">
        <x:v>Activo</x:v>
      </x:c>
      <x:c r="J32" s="35" t="str">
        <x:v>Sin diligenciar</x:v>
      </x:c>
    </x:row>
    <x:row r="33" ht="20" customHeight="1">
      <x:c r="A33" s="34" t="str">
        <x:v>El Centro</x:v>
      </x:c>
      <x:c r="B33" s="34" t="str"/>
      <x:c r="C33" s="35" t="str">
        <x:v>CC</x:v>
      </x:c>
      <x:c r="D33" s="36" t="str">
        <x:v>13569191</x:v>
      </x:c>
      <x:c r="E33" s="34" t="str">
        <x:v>Wilson Andres</x:v>
      </x:c>
      <x:c r="F33" s="34" t="str">
        <x:v>Rueda Zuluaga</x:v>
      </x:c>
      <x:c r="G33" s="34" t="str">
        <x:v>Chef</x:v>
      </x:c>
      <x:c r="H33" s="37" t="n">
        <x:v>45717</x:v>
      </x:c>
      <x:c r="I33" s="35" t="str">
        <x:v>Activo</x:v>
      </x:c>
      <x:c r="J33" s="35" t="str">
        <x:v>Sin diligenciar</x:v>
      </x:c>
    </x:row>
    <x:row r="34" ht="20" customHeight="1">
      <x:c r="A34" s="34" t="str">
        <x:v>El Centro</x:v>
      </x:c>
      <x:c r="B34" s="34" t="str"/>
      <x:c r="C34" s="35" t="str">
        <x:v>CC</x:v>
      </x:c>
      <x:c r="D34" s="36" t="str">
        <x:v>1096209095</x:v>
      </x:c>
      <x:c r="E34" s="34" t="str">
        <x:v>Ana Laura</x:v>
      </x:c>
      <x:c r="F34" s="34" t="str">
        <x:v>Sanchez Retamoza</x:v>
      </x:c>
      <x:c r="G34" s="34" t="str">
        <x:v>Auxiliar De Cocina</x:v>
      </x:c>
      <x:c r="H34" s="37" t="n">
        <x:v>46118</x:v>
      </x:c>
      <x:c r="I34" s="35" t="str">
        <x:v>Activo</x:v>
      </x:c>
      <x:c r="J34" s="35" t="str">
        <x:v>Sin diligenciar</x:v>
      </x:c>
    </x:row>
    <x:row r="35" ht="20" customHeight="1">
      <x:c r="A35" s="34" t="str">
        <x:v>Fundacion Cardiovascular</x:v>
      </x:c>
      <x:c r="B35" s="34" t="str"/>
      <x:c r="C35" s="35" t="str">
        <x:v>CC</x:v>
      </x:c>
      <x:c r="D35" s="36" t="str">
        <x:v>39577758</x:v>
      </x:c>
      <x:c r="E35" s="34" t="str">
        <x:v>Sandra Milena</x:v>
      </x:c>
      <x:c r="F35" s="34" t="str">
        <x:v>Candelo Robles</x:v>
      </x:c>
      <x:c r="G35" s="34" t="str">
        <x:v>Auxiliar Administrativo De Servicios Hospitalarios</x:v>
      </x:c>
      <x:c r="H35" s="37" t="n">
        <x:v>45108</x:v>
      </x:c>
      <x:c r="I35" s="35" t="str">
        <x:v>Activo</x:v>
      </x:c>
      <x:c r="J35" s="35" t="str">
        <x:v>Sin diligenciar</x:v>
      </x:c>
    </x:row>
    <x:row r="36" ht="20" customHeight="1">
      <x:c r="A36" s="34" t="str">
        <x:v>Fundacion Cardiovascular</x:v>
      </x:c>
      <x:c r="B36" s="34" t="str"/>
      <x:c r="C36" s="35" t="str">
        <x:v>CC</x:v>
      </x:c>
      <x:c r="D36" s="36" t="str">
        <x:v>1004822836</x:v>
      </x:c>
      <x:c r="E36" s="34" t="str">
        <x:v>Mariana</x:v>
      </x:c>
      <x:c r="F36" s="34" t="str">
        <x:v>Delgado Gelves</x:v>
      </x:c>
      <x:c r="G36" s="34" t="str">
        <x:v>Auxiliares De  Servicios Hospitalarios</x:v>
      </x:c>
      <x:c r="H36" s="37" t="n">
        <x:v>45962</x:v>
      </x:c>
      <x:c r="I36" s="35" t="str">
        <x:v>Activo</x:v>
      </x:c>
      <x:c r="J36" s="35" t="str">
        <x:v>Sin diligenciar</x:v>
      </x:c>
    </x:row>
    <x:row r="37" ht="20" customHeight="1">
      <x:c r="A37" s="34" t="str">
        <x:v>Fundacion Cardiovascular</x:v>
      </x:c>
      <x:c r="B37" s="34" t="str"/>
      <x:c r="C37" s="35" t="str">
        <x:v>CC</x:v>
      </x:c>
      <x:c r="D37" s="36" t="str">
        <x:v>1098780177</x:v>
      </x:c>
      <x:c r="E37" s="34" t="str">
        <x:v>Yenifer Paola</x:v>
      </x:c>
      <x:c r="F37" s="34" t="str">
        <x:v>Hernandez</x:v>
      </x:c>
      <x:c r="G37" s="34" t="str">
        <x:v>Auxiliares De  Servicios Hospitalarios</x:v>
      </x:c>
      <x:c r="H37" s="37" t="n">
        <x:v>45308</x:v>
      </x:c>
      <x:c r="I37" s="35" t="str">
        <x:v>Activo</x:v>
      </x:c>
      <x:c r="J37" s="35" t="str">
        <x:v>Sin diligenciar</x:v>
      </x:c>
    </x:row>
    <x:row r="38" ht="20" customHeight="1">
      <x:c r="A38" s="34" t="str">
        <x:v>Fundacion Cardiovascular</x:v>
      </x:c>
      <x:c r="B38" s="34" t="str"/>
      <x:c r="C38" s="35" t="str">
        <x:v>CC</x:v>
      </x:c>
      <x:c r="D38" s="36" t="str">
        <x:v>63563090</x:v>
      </x:c>
      <x:c r="E38" s="34" t="str">
        <x:v>Olga Beatriz</x:v>
      </x:c>
      <x:c r="F38" s="34" t="str">
        <x:v>Pachon Pinilla</x:v>
      </x:c>
      <x:c r="G38" s="34" t="str">
        <x:v>Nutricionista</x:v>
      </x:c>
      <x:c r="H38" s="37" t="n">
        <x:v>44961</x:v>
      </x:c>
      <x:c r="I38" s="35" t="str">
        <x:v>Activo</x:v>
      </x:c>
      <x:c r="J38" s="35" t="str">
        <x:v>Sin diligenciar</x:v>
      </x:c>
    </x:row>
    <x:row r="39" ht="20" customHeight="1">
      <x:c r="A39" s="34" t="str">
        <x:v>Fundacion Cardiovascular</x:v>
      </x:c>
      <x:c r="B39" s="34" t="str"/>
      <x:c r="C39" s="35" t="str">
        <x:v>CC</x:v>
      </x:c>
      <x:c r="D39" s="36" t="str">
        <x:v>1102365215</x:v>
      </x:c>
      <x:c r="E39" s="34" t="str">
        <x:v>Rafael Mauricio</x:v>
      </x:c>
      <x:c r="F39" s="34" t="str">
        <x:v>Sarmiento Vargas</x:v>
      </x:c>
      <x:c r="G39" s="34" t="str">
        <x:v>Auxiliar Administrativo De Servicios Hospitalarios</x:v>
      </x:c>
      <x:c r="H39" s="37" t="n">
        <x:v>45302</x:v>
      </x:c>
      <x:c r="I39" s="35" t="str">
        <x:v>Activo</x:v>
      </x:c>
      <x:c r="J39" s="35" t="str">
        <x:v>Sin diligenciar</x:v>
      </x:c>
    </x:row>
    <x:row r="40" ht="20" customHeight="1">
      <x:c r="A40" s="34" t="str">
        <x:v>Fundacion Cardiovascular</x:v>
      </x:c>
      <x:c r="B40" s="34" t="str"/>
      <x:c r="C40" s="35" t="str">
        <x:v>CC</x:v>
      </x:c>
      <x:c r="D40" s="36" t="str">
        <x:v>37711243</x:v>
      </x:c>
      <x:c r="E40" s="34" t="str">
        <x:v>Nydia Amilde</x:v>
      </x:c>
      <x:c r="F40" s="34" t="str">
        <x:v>Villamizar Perez</x:v>
      </x:c>
      <x:c r="G40" s="34" t="str">
        <x:v>Auxiliares De  Servicios Hospitalarios</x:v>
      </x:c>
      <x:c r="H40" s="37" t="n">
        <x:v>45108</x:v>
      </x:c>
      <x:c r="I40" s="35" t="str">
        <x:v>Activo</x:v>
      </x:c>
      <x:c r="J40" s="35" t="str">
        <x:v>Sin diligenciar</x:v>
      </x:c>
    </x:row>
    <x:row r="41" ht="20" customHeight="1">
      <x:c r="A41" s="34" t="str">
        <x:v>Ganaderia Las Margaritas</x:v>
      </x:c>
      <x:c r="B41" s="34" t="str"/>
      <x:c r="C41" s="35" t="str">
        <x:v>CC</x:v>
      </x:c>
      <x:c r="D41" s="36" t="str">
        <x:v>78646300</x:v>
      </x:c>
      <x:c r="E41" s="34" t="str">
        <x:v>Ebelio Jose</x:v>
      </x:c>
      <x:c r="F41" s="34" t="str">
        <x:v>Martinez Marmolejo</x:v>
      </x:c>
      <x:c r="G41" s="34" t="str">
        <x:v>Ganadero</x:v>
      </x:c>
      <x:c r="H41" s="37" t="n">
        <x:v>40058</x:v>
      </x:c>
      <x:c r="I41" s="35" t="str">
        <x:v>Activo</x:v>
      </x:c>
      <x:c r="J41" s="35" t="str">
        <x:v>Sin diligenciar</x:v>
      </x:c>
    </x:row>
    <x:row r="42" ht="20" customHeight="1">
      <x:c r="A42" s="34" t="str">
        <x:v>Hidroituango</x:v>
      </x:c>
      <x:c r="B42" s="34" t="str"/>
      <x:c r="C42" s="35" t="str">
        <x:v>CC</x:v>
      </x:c>
      <x:c r="D42" s="36" t="str">
        <x:v>1007762599</x:v>
      </x:c>
      <x:c r="E42" s="34" t="str">
        <x:v>Laura Melisa</x:v>
      </x:c>
      <x:c r="F42" s="34" t="str">
        <x:v>Areiza Espinosa</x:v>
      </x:c>
      <x:c r="G42" s="34" t="str">
        <x:v>Auxiliar General</x:v>
      </x:c>
      <x:c r="H42" s="37" t="n">
        <x:v>45535</x:v>
      </x:c>
      <x:c r="I42" s="35" t="str">
        <x:v>Activo</x:v>
      </x:c>
      <x:c r="J42" s="35" t="str">
        <x:v>Sin diligenciar</x:v>
      </x:c>
    </x:row>
    <x:row r="43" ht="20" customHeight="1">
      <x:c r="A43" s="34" t="str">
        <x:v>Hidroituango</x:v>
      </x:c>
      <x:c r="B43" s="34" t="str"/>
      <x:c r="C43" s="35" t="str">
        <x:v>CC</x:v>
      </x:c>
      <x:c r="D43" s="36" t="str">
        <x:v>22586655 </x:v>
      </x:c>
      <x:c r="E43" s="34" t="str">
        <x:v>Laudith Johana</x:v>
      </x:c>
      <x:c r="F43" s="34" t="str">
        <x:v>Ospino Benitez</x:v>
      </x:c>
      <x:c r="G43" s="34" t="str">
        <x:v>Auxiliar General</x:v>
      </x:c>
      <x:c r="H43" s="37" t="n">
        <x:v>46087</x:v>
      </x:c>
      <x:c r="I43" s="35" t="str">
        <x:v>Activo</x:v>
      </x:c>
      <x:c r="J43" s="35" t="str">
        <x:v>Sin diligenciar</x:v>
      </x:c>
    </x:row>
    <x:row r="44" ht="20" customHeight="1">
      <x:c r="A44" s="34" t="str">
        <x:v>Hocol-Ocelote</x:v>
      </x:c>
      <x:c r="B44" s="34" t="str"/>
      <x:c r="C44" s="35" t="str">
        <x:v>CC</x:v>
      </x:c>
      <x:c r="D44" s="36" t="str">
        <x:v>1193089937</x:v>
      </x:c>
      <x:c r="E44" s="34" t="str">
        <x:v>Laura Liliana</x:v>
      </x:c>
      <x:c r="F44" s="34" t="str">
        <x:v>Fuentes Bossa</x:v>
      </x:c>
      <x:c r="G44" s="34" t="str">
        <x:v>Mesera</x:v>
      </x:c>
      <x:c r="H44" s="37" t="n">
        <x:v>46097</x:v>
      </x:c>
      <x:c r="I44" s="35" t="str">
        <x:v>Activo</x:v>
      </x:c>
      <x:c r="J44" s="35" t="str">
        <x:v>Sin diligenciar</x:v>
      </x:c>
    </x:row>
    <x:row r="45" ht="20" customHeight="1">
      <x:c r="A45" s="34" t="str">
        <x:v>Hocol-Ocelote</x:v>
      </x:c>
      <x:c r="B45" s="34" t="str"/>
      <x:c r="C45" s="35" t="str">
        <x:v>CC</x:v>
      </x:c>
      <x:c r="D45" s="36" t="str">
        <x:v>40250424</x:v>
      </x:c>
      <x:c r="E45" s="34" t="str">
        <x:v>Vilma Patricia</x:v>
      </x:c>
      <x:c r="F45" s="34" t="str">
        <x:v>Galvis Gaitan</x:v>
      </x:c>
      <x:c r="G45" s="34" t="str">
        <x:v>Auxiliar De Cocina</x:v>
      </x:c>
      <x:c r="H45" s="37" t="n">
        <x:v>46113</x:v>
      </x:c>
      <x:c r="I45" s="35" t="str">
        <x:v>Activo</x:v>
      </x:c>
      <x:c r="J45" s="35" t="str">
        <x:v>Sin diligenciar</x:v>
      </x:c>
    </x:row>
    <x:row r="46" ht="20" customHeight="1">
      <x:c r="A46" s="34" t="str">
        <x:v>Hocol-Ocelote</x:v>
      </x:c>
      <x:c r="B46" s="34" t="str"/>
      <x:c r="C46" s="35" t="str">
        <x:v>CC</x:v>
      </x:c>
      <x:c r="D46" s="36" t="str">
        <x:v>1134449452</x:v>
      </x:c>
      <x:c r="E46" s="34" t="str">
        <x:v>Luisa</x:v>
      </x:c>
      <x:c r="F46" s="34" t="str">
        <x:v>Morales Leon</x:v>
      </x:c>
      <x:c r="G46" s="34" t="str">
        <x:v>Auxiliar De Cocina</x:v>
      </x:c>
      <x:c r="H46" s="37" t="n">
        <x:v>45977</x:v>
      </x:c>
      <x:c r="I46" s="35" t="str">
        <x:v>Activo</x:v>
      </x:c>
      <x:c r="J46" s="35" t="str">
        <x:v>Sin diligenciar</x:v>
      </x:c>
    </x:row>
    <x:row r="47" ht="20" customHeight="1">
      <x:c r="A47" s="34" t="str">
        <x:v>Lote 1 (Lote 2 Vr)</x:v>
      </x:c>
      <x:c r="B47" s="34" t="str"/>
      <x:c r="C47" s="35" t="str">
        <x:v>CC</x:v>
      </x:c>
      <x:c r="D47" s="36" t="str">
        <x:v>1005279934</x:v>
      </x:c>
      <x:c r="E47" s="34" t="str">
        <x:v>Maria Fernanda</x:v>
      </x:c>
      <x:c r="F47" s="34" t="str">
        <x:v>Garcia Villabona</x:v>
      </x:c>
      <x:c r="G47" s="34" t="str">
        <x:v>Clasificadora De Huevos</x:v>
      </x:c>
      <x:c r="H47" s="37" t="n">
        <x:v>45586</x:v>
      </x:c>
      <x:c r="I47" s="35" t="str">
        <x:v>Activo</x:v>
      </x:c>
      <x:c r="J47" s="35" t="str">
        <x:v>Sin diligenciar</x:v>
      </x:c>
    </x:row>
    <x:row r="48" ht="20" customHeight="1">
      <x:c r="A48" s="34" t="str">
        <x:v>Lote 1 Vr</x:v>
      </x:c>
      <x:c r="B48" s="34" t="str"/>
      <x:c r="C48" s="35" t="str">
        <x:v>CC</x:v>
      </x:c>
      <x:c r="D48" s="36" t="str">
        <x:v>5581625</x:v>
      </x:c>
      <x:c r="E48" s="34" t="str">
        <x:v>Edgar</x:v>
      </x:c>
      <x:c r="F48" s="34" t="str">
        <x:v>Bautista Gomez</x:v>
      </x:c>
      <x:c r="G48" s="34" t="str">
        <x:v>Clasificadora De Huevos</x:v>
      </x:c>
      <x:c r="H48" s="37" t="n">
        <x:v>43960</x:v>
      </x:c>
      <x:c r="I48" s="35" t="str">
        <x:v>Activo</x:v>
      </x:c>
      <x:c r="J48" s="35" t="str">
        <x:v>Sin diligenciar</x:v>
      </x:c>
    </x:row>
    <x:row r="49" ht="20" customHeight="1">
      <x:c r="A49" s="34" t="str">
        <x:v>Lote 1 Vr</x:v>
      </x:c>
      <x:c r="B49" s="34" t="str"/>
      <x:c r="C49" s="35" t="str">
        <x:v>CC</x:v>
      </x:c>
      <x:c r="D49" s="36" t="str">
        <x:v>1007331197</x:v>
      </x:c>
      <x:c r="E49" s="34" t="str">
        <x:v>Miguel Angel</x:v>
      </x:c>
      <x:c r="F49" s="34" t="str">
        <x:v>Carrillo Santos</x:v>
      </x:c>
      <x:c r="G49" s="34" t="str">
        <x:v>Galponero</x:v>
      </x:c>
      <x:c r="H49" s="37" t="n">
        <x:v>46043</x:v>
      </x:c>
      <x:c r="I49" s="35" t="str">
        <x:v>Activo</x:v>
      </x:c>
      <x:c r="J49" s="35" t="str">
        <x:v>Sin diligenciar</x:v>
      </x:c>
    </x:row>
    <x:row r="50" ht="20" customHeight="1">
      <x:c r="A50" s="34" t="str">
        <x:v>Lote 1 Vr</x:v>
      </x:c>
      <x:c r="B50" s="34" t="str"/>
      <x:c r="C50" s="35" t="str">
        <x:v>CC</x:v>
      </x:c>
      <x:c r="D50" s="36" t="str">
        <x:v>26767738</x:v>
      </x:c>
      <x:c r="E50" s="34" t="str">
        <x:v>Nolvis Maria</x:v>
      </x:c>
      <x:c r="F50" s="34" t="str">
        <x:v>Eljach Obeso</x:v>
      </x:c>
      <x:c r="G50" s="34" t="str">
        <x:v>Clasificadora De Huevos</x:v>
      </x:c>
      <x:c r="H50" s="37" t="n">
        <x:v>45448</x:v>
      </x:c>
      <x:c r="I50" s="35" t="str">
        <x:v>Activo</x:v>
      </x:c>
      <x:c r="J50" s="35" t="str">
        <x:v>Sin diligenciar</x:v>
      </x:c>
    </x:row>
    <x:row r="51" ht="20" customHeight="1">
      <x:c r="A51" s="34" t="str">
        <x:v>Lote 1 Vr</x:v>
      </x:c>
      <x:c r="B51" s="34" t="str"/>
      <x:c r="C51" s="35" t="str">
        <x:v>CC</x:v>
      </x:c>
      <x:c r="D51" s="36" t="str">
        <x:v>13513405</x:v>
      </x:c>
      <x:c r="E51" s="34" t="str">
        <x:v>Luis Alfredo</x:v>
      </x:c>
      <x:c r="F51" s="34" t="str">
        <x:v>Garcia Leon</x:v>
      </x:c>
      <x:c r="G51" s="34" t="str">
        <x:v>Galponero</x:v>
      </x:c>
      <x:c r="H51" s="37" t="n">
        <x:v>40884</x:v>
      </x:c>
      <x:c r="I51" s="35" t="str">
        <x:v>Activo</x:v>
      </x:c>
      <x:c r="J51" s="35" t="str">
        <x:v>Sin diligenciar</x:v>
      </x:c>
    </x:row>
    <x:row r="52" ht="20" customHeight="1">
      <x:c r="A52" s="34" t="str">
        <x:v>Lote 1 Vr</x:v>
      </x:c>
      <x:c r="B52" s="34" t="str"/>
      <x:c r="C52" s="35" t="str">
        <x:v>CC</x:v>
      </x:c>
      <x:c r="D52" s="36" t="str">
        <x:v>1100890502</x:v>
      </x:c>
      <x:c r="E52" s="34" t="str">
        <x:v>Oscar</x:v>
      </x:c>
      <x:c r="F52" s="34" t="str">
        <x:v>Medina Delgado</x:v>
      </x:c>
      <x:c r="G52" s="34" t="str">
        <x:v>Galponero</x:v>
      </x:c>
      <x:c r="H52" s="37" t="n">
        <x:v>45239</x:v>
      </x:c>
      <x:c r="I52" s="35" t="str">
        <x:v>Activo</x:v>
      </x:c>
      <x:c r="J52" s="35" t="str">
        <x:v>Sin diligenciar</x:v>
      </x:c>
    </x:row>
    <x:row r="53" ht="20" customHeight="1">
      <x:c r="A53" s="34" t="str">
        <x:v>Lote 1 Vr</x:v>
      </x:c>
      <x:c r="B53" s="34" t="str"/>
      <x:c r="C53" s="35" t="str">
        <x:v>CC</x:v>
      </x:c>
      <x:c r="D53" s="36" t="str">
        <x:v>91348111</x:v>
      </x:c>
      <x:c r="E53" s="34" t="str">
        <x:v>Julio Cesar</x:v>
      </x:c>
      <x:c r="F53" s="34" t="str">
        <x:v>Pabon Silva</x:v>
      </x:c>
      <x:c r="G53" s="34" t="str">
        <x:v>Oficios Varios</x:v>
      </x:c>
      <x:c r="H53" s="37" t="n">
        <x:v>45111</x:v>
      </x:c>
      <x:c r="I53" s="35" t="str">
        <x:v>Activo</x:v>
      </x:c>
      <x:c r="J53" s="35" t="str">
        <x:v>Sin diligenciar</x:v>
      </x:c>
    </x:row>
    <x:row r="54" ht="20" customHeight="1">
      <x:c r="A54" s="34" t="str">
        <x:v>Lote 1 Vr</x:v>
      </x:c>
      <x:c r="B54" s="34" t="str"/>
      <x:c r="C54" s="35" t="str">
        <x:v>CC</x:v>
      </x:c>
      <x:c r="D54" s="36" t="str">
        <x:v>85473834</x:v>
      </x:c>
      <x:c r="E54" s="34" t="str">
        <x:v>Elvis Roman</x:v>
      </x:c>
      <x:c r="F54" s="34" t="str">
        <x:v>Prada Prada</x:v>
      </x:c>
      <x:c r="G54" s="34" t="str">
        <x:v>Comercializador De Huevos</x:v>
      </x:c>
      <x:c r="H54" s="37" t="n">
        <x:v>45397</x:v>
      </x:c>
      <x:c r="I54" s="35" t="str">
        <x:v>Activo</x:v>
      </x:c>
      <x:c r="J54" s="35" t="str">
        <x:v>Sin diligenciar</x:v>
      </x:c>
    </x:row>
    <x:row r="55" ht="20" customHeight="1">
      <x:c r="A55" s="34" t="str">
        <x:v>Lote 1 Vr</x:v>
      </x:c>
      <x:c r="B55" s="34" t="str"/>
      <x:c r="C55" s="35" t="str">
        <x:v>CC</x:v>
      </x:c>
      <x:c r="D55" s="36" t="str">
        <x:v>1094247040</x:v>
      </x:c>
      <x:c r="E55" s="34" t="str">
        <x:v>Jusveydy Natali</x:v>
      </x:c>
      <x:c r="F55" s="34" t="str">
        <x:v>Quintana Silva</x:v>
      </x:c>
      <x:c r="G55" s="34" t="str">
        <x:v>Clasificadora De Huevos</x:v>
      </x:c>
      <x:c r="H55" s="37" t="n">
        <x:v>44974</x:v>
      </x:c>
      <x:c r="I55" s="35" t="str">
        <x:v>Activo</x:v>
      </x:c>
      <x:c r="J55" s="35" t="str">
        <x:v>Sin diligenciar</x:v>
      </x:c>
    </x:row>
    <x:row r="56" ht="20" customHeight="1">
      <x:c r="A56" s="34" t="str">
        <x:v>Lote 1 Vr</x:v>
      </x:c>
      <x:c r="B56" s="34" t="str"/>
      <x:c r="C56" s="35" t="str">
        <x:v>CC</x:v>
      </x:c>
      <x:c r="D56" s="36" t="str">
        <x:v>91047791</x:v>
      </x:c>
      <x:c r="E56" s="34" t="str">
        <x:v>Jimmy</x:v>
      </x:c>
      <x:c r="F56" s="34" t="str">
        <x:v>Rojas Vargas</x:v>
      </x:c>
      <x:c r="G56" s="34" t="str">
        <x:v>Galponero</x:v>
      </x:c>
      <x:c r="H56" s="37" t="n">
        <x:v>45098</x:v>
      </x:c>
      <x:c r="I56" s="35" t="str">
        <x:v>Activo</x:v>
      </x:c>
      <x:c r="J56" s="35" t="str">
        <x:v>Sin diligenciar</x:v>
      </x:c>
    </x:row>
    <x:row r="57" ht="20" customHeight="1">
      <x:c r="A57" s="34" t="str">
        <x:v>Lote 1 Vr</x:v>
      </x:c>
      <x:c r="B57" s="34" t="str"/>
      <x:c r="C57" s="35" t="str">
        <x:v>CC</x:v>
      </x:c>
      <x:c r="D57" s="36" t="str">
        <x:v>1101694799</x:v>
      </x:c>
      <x:c r="E57" s="34" t="str">
        <x:v>Odeth Lorena</x:v>
      </x:c>
      <x:c r="F57" s="34" t="str">
        <x:v>Suarez Hurtado</x:v>
      </x:c>
      <x:c r="G57" s="34" t="str">
        <x:v>Auxiliar Agropecuaria</x:v>
      </x:c>
      <x:c r="H57" s="37" t="n">
        <x:v>45460</x:v>
      </x:c>
      <x:c r="I57" s="35" t="str">
        <x:v>Activo</x:v>
      </x:c>
      <x:c r="J57" s="35" t="str">
        <x:v>Sin diligenciar</x:v>
      </x:c>
    </x:row>
    <x:row r="58" ht="20" customHeight="1">
      <x:c r="A58" s="34" t="str">
        <x:v>Lote 1 Vr</x:v>
      </x:c>
      <x:c r="B58" s="34" t="str"/>
      <x:c r="C58" s="35" t="str">
        <x:v>CC</x:v>
      </x:c>
      <x:c r="D58" s="36" t="str">
        <x:v>1100949871</x:v>
      </x:c>
      <x:c r="E58" s="34" t="str">
        <x:v>Victor Alejandro</x:v>
      </x:c>
      <x:c r="F58" s="34" t="str">
        <x:v>Triana Espitia</x:v>
      </x:c>
      <x:c r="G58" s="34" t="str">
        <x:v>Administrador Fincas</x:v>
      </x:c>
      <x:c r="H58" s="37" t="n">
        <x:v>45078</x:v>
      </x:c>
      <x:c r="I58" s="35" t="str">
        <x:v>Activo</x:v>
      </x:c>
      <x:c r="J58" s="35" t="str">
        <x:v>Sin diligenciar</x:v>
      </x:c>
    </x:row>
    <x:row r="59" ht="20" customHeight="1">
      <x:c r="A59" s="34" t="str">
        <x:v>Lote 1 Vr</x:v>
      </x:c>
      <x:c r="B59" s="34" t="str"/>
      <x:c r="C59" s="35" t="str">
        <x:v>CC</x:v>
      </x:c>
      <x:c r="D59" s="36" t="str">
        <x:v>28105194</x:v>
      </x:c>
      <x:c r="E59" s="34" t="str">
        <x:v>Helida</x:v>
      </x:c>
      <x:c r="F59" s="34" t="str">
        <x:v>Villabona Rojas</x:v>
      </x:c>
      <x:c r="G59" s="34" t="str">
        <x:v>Clasificadora De Huevos</x:v>
      </x:c>
      <x:c r="H59" s="37" t="n">
        <x:v>45434</x:v>
      </x:c>
      <x:c r="I59" s="35" t="str">
        <x:v>Activo</x:v>
      </x:c>
      <x:c r="J59" s="35" t="str">
        <x:v>Sin diligenciar</x:v>
      </x:c>
    </x:row>
    <x:row r="60" ht="20" customHeight="1">
      <x:c r="A60" s="34" t="str">
        <x:v>Lote 1 Vr</x:v>
      </x:c>
      <x:c r="B60" s="34" t="str"/>
      <x:c r="C60" s="35" t="str">
        <x:v>CC</x:v>
      </x:c>
      <x:c r="D60" s="36" t="str">
        <x:v>1102355158</x:v>
      </x:c>
      <x:c r="E60" s="34" t="str">
        <x:v>Gioximar</x:v>
      </x:c>
      <x:c r="F60" s="34" t="str">
        <x:v>Villamizar Leal</x:v>
      </x:c>
      <x:c r="G60" s="34" t="str">
        <x:v>Galponero</x:v>
      </x:c>
      <x:c r="H60" s="37" t="n">
        <x:v>44974</x:v>
      </x:c>
      <x:c r="I60" s="35" t="str">
        <x:v>Activo</x:v>
      </x:c>
      <x:c r="J60" s="35" t="str">
        <x:v>Sin diligenciar</x:v>
      </x:c>
    </x:row>
    <x:row r="61" ht="20" customHeight="1">
      <x:c r="A61" s="34" t="str">
        <x:v>Lote 2 Vr</x:v>
      </x:c>
      <x:c r="B61" s="34" t="str"/>
      <x:c r="C61" s="35" t="str">
        <x:v>CC</x:v>
      </x:c>
      <x:c r="D61" s="36" t="str">
        <x:v>1098619184</x:v>
      </x:c>
      <x:c r="E61" s="34" t="str">
        <x:v>Hetor</x:v>
      </x:c>
      <x:c r="F61" s="34" t="str">
        <x:v>Calderon Salinas</x:v>
      </x:c>
      <x:c r="G61" s="34" t="str">
        <x:v>Galponero</x:v>
      </x:c>
      <x:c r="H61" s="37" t="n">
        <x:v>46143</x:v>
      </x:c>
      <x:c r="I61" s="35" t="str">
        <x:v>Activo</x:v>
      </x:c>
      <x:c r="J61" s="35" t="str">
        <x:v>Sin diligenciar</x:v>
      </x:c>
    </x:row>
    <x:row r="62" ht="20" customHeight="1">
      <x:c r="A62" s="34" t="str">
        <x:v>Lote 2 Vr</x:v>
      </x:c>
      <x:c r="B62" s="34" t="str"/>
      <x:c r="C62" s="35" t="str">
        <x:v>CC</x:v>
      </x:c>
      <x:c r="D62" s="36" t="str">
        <x:v>1102355861</x:v>
      </x:c>
      <x:c r="E62" s="34" t="str">
        <x:v>Carlos Andres</x:v>
      </x:c>
      <x:c r="F62" s="34" t="str">
        <x:v>Carrillo Mejia</x:v>
      </x:c>
      <x:c r="G62" s="34" t="str">
        <x:v>Galponero</x:v>
      </x:c>
      <x:c r="H62" s="37" t="n">
        <x:v>45813</x:v>
      </x:c>
      <x:c r="I62" s="35" t="str">
        <x:v>Activo</x:v>
      </x:c>
      <x:c r="J62" s="35" t="str">
        <x:v>Sin diligenciar</x:v>
      </x:c>
    </x:row>
    <x:row r="63" ht="20" customHeight="1">
      <x:c r="A63" s="34" t="str">
        <x:v>Lote 2 Vr</x:v>
      </x:c>
      <x:c r="B63" s="34" t="str"/>
      <x:c r="C63" s="35" t="str">
        <x:v>CC</x:v>
      </x:c>
      <x:c r="D63" s="36" t="str">
        <x:v>1102392169</x:v>
      </x:c>
      <x:c r="E63" s="34" t="str">
        <x:v>Juan Sebastian</x:v>
      </x:c>
      <x:c r="F63" s="34" t="str">
        <x:v>Hurtado Bueno</x:v>
      </x:c>
      <x:c r="G63" s="34" t="str">
        <x:v>Clasificadora De Huevos</x:v>
      </x:c>
      <x:c r="H63" s="37" t="n">
        <x:v>45170</x:v>
      </x:c>
      <x:c r="I63" s="35" t="str">
        <x:v>Activo</x:v>
      </x:c>
      <x:c r="J63" s="35" t="str">
        <x:v>Sin diligenciar</x:v>
      </x:c>
    </x:row>
    <x:row r="64" ht="20" customHeight="1">
      <x:c r="A64" s="34" t="str">
        <x:v>Lote 2 Vr</x:v>
      </x:c>
      <x:c r="B64" s="34" t="str"/>
      <x:c r="C64" s="35" t="str">
        <x:v>CC</x:v>
      </x:c>
      <x:c r="D64" s="36" t="str">
        <x:v>1102348513</x:v>
      </x:c>
      <x:c r="E64" s="34" t="str">
        <x:v>Alfonso</x:v>
      </x:c>
      <x:c r="F64" s="34" t="str">
        <x:v>Mejia Carvajal</x:v>
      </x:c>
      <x:c r="G64" s="34" t="str">
        <x:v>Galponero</x:v>
      </x:c>
      <x:c r="H64" s="37" t="n">
        <x:v>44677</x:v>
      </x:c>
      <x:c r="I64" s="35" t="str">
        <x:v>Activo</x:v>
      </x:c>
      <x:c r="J64" s="35" t="str">
        <x:v>Sin diligenciar</x:v>
      </x:c>
    </x:row>
    <x:row r="65" ht="20" customHeight="1">
      <x:c r="A65" s="34" t="str">
        <x:v>Lote 2 Vr</x:v>
      </x:c>
      <x:c r="B65" s="34" t="str"/>
      <x:c r="C65" s="35" t="str">
        <x:v>CC</x:v>
      </x:c>
      <x:c r="D65" s="36" t="str">
        <x:v>91451611</x:v>
      </x:c>
      <x:c r="E65" s="34" t="str">
        <x:v>Francisco</x:v>
      </x:c>
      <x:c r="F65" s="34" t="str">
        <x:v>Rodriguez Tarazona</x:v>
      </x:c>
      <x:c r="G65" s="34" t="str">
        <x:v>Galponero</x:v>
      </x:c>
      <x:c r="H65" s="37" t="n">
        <x:v>43853</x:v>
      </x:c>
      <x:c r="I65" s="35" t="str">
        <x:v>Activo</x:v>
      </x:c>
      <x:c r="J65" s="35" t="str">
        <x:v>Sin diligenciar</x:v>
      </x:c>
    </x:row>
    <x:row r="66" ht="20" customHeight="1">
      <x:c r="A66" s="34" t="str">
        <x:v>Lote 3 Vr</x:v>
      </x:c>
      <x:c r="B66" s="34" t="str"/>
      <x:c r="C66" s="35" t="str">
        <x:v>CC</x:v>
      </x:c>
      <x:c r="D66" s="36" t="str">
        <x:v>85476636</x:v>
      </x:c>
      <x:c r="E66" s="34" t="str">
        <x:v>Bernardo</x:v>
      </x:c>
      <x:c r="F66" s="34" t="str">
        <x:v>Torres Arellano</x:v>
      </x:c>
      <x:c r="G66" s="34" t="str">
        <x:v>Galponero</x:v>
      </x:c>
      <x:c r="H66" s="37" t="n">
        <x:v>44722</x:v>
      </x:c>
      <x:c r="I66" s="35" t="str">
        <x:v>Activo</x:v>
      </x:c>
      <x:c r="J66" s="35" t="str">
        <x:v>Sin diligenciar</x:v>
      </x:c>
    </x:row>
    <x:row r="67" ht="20" customHeight="1">
      <x:c r="A67" s="34" t="str">
        <x:v>Lote 4 (Lote 1 Vr)</x:v>
      </x:c>
      <x:c r="B67" s="34" t="str"/>
      <x:c r="C67" s="35" t="str">
        <x:v>CC</x:v>
      </x:c>
      <x:c r="D67" s="36" t="str">
        <x:v>1098261398</x:v>
      </x:c>
      <x:c r="E67" s="34" t="str">
        <x:v>Sandra Yolima</x:v>
      </x:c>
      <x:c r="F67" s="34" t="str">
        <x:v>Serrano Rueda</x:v>
      </x:c>
      <x:c r="G67" s="34" t="str">
        <x:v>Clasificadora De Huevos</x:v>
      </x:c>
      <x:c r="H67" s="37" t="n">
        <x:v>45496</x:v>
      </x:c>
      <x:c r="I67" s="35" t="str">
        <x:v>Activo</x:v>
      </x:c>
      <x:c r="J67" s="35" t="str">
        <x:v>Sin diligenciar</x:v>
      </x:c>
    </x:row>
    <x:row r="68" ht="20" customHeight="1">
      <x:c r="A68" s="34" t="str">
        <x:v>Lote 4 Pk</x:v>
      </x:c>
      <x:c r="B68" s="34" t="str"/>
      <x:c r="C68" s="35" t="str">
        <x:v>CC</x:v>
      </x:c>
      <x:c r="D68" s="36" t="str">
        <x:v>1102350618</x:v>
      </x:c>
      <x:c r="E68" s="34" t="str">
        <x:v>Ivan</x:v>
      </x:c>
      <x:c r="F68" s="34" t="str">
        <x:v>Araque Carrizalez</x:v>
      </x:c>
      <x:c r="G68" s="34" t="str">
        <x:v>Galponero</x:v>
      </x:c>
      <x:c r="H68" s="37" t="n">
        <x:v>45294</x:v>
      </x:c>
      <x:c r="I68" s="35" t="str">
        <x:v>Activo</x:v>
      </x:c>
      <x:c r="J68" s="35" t="str">
        <x:v>Sin diligenciar</x:v>
      </x:c>
    </x:row>
    <x:row r="69" ht="20" customHeight="1">
      <x:c r="A69" s="34" t="str">
        <x:v>Lote 4 Pk</x:v>
      </x:c>
      <x:c r="B69" s="34" t="str"/>
      <x:c r="C69" s="35" t="str">
        <x:v>CC</x:v>
      </x:c>
      <x:c r="D69" s="36" t="str">
        <x:v>13929325</x:v>
      </x:c>
      <x:c r="E69" s="34" t="str">
        <x:v>Nelson Daniel</x:v>
      </x:c>
      <x:c r="F69" s="34" t="str">
        <x:v>Archila Rincon</x:v>
      </x:c>
      <x:c r="G69" s="34" t="str">
        <x:v>Galponero</x:v>
      </x:c>
      <x:c r="H69" s="37" t="n">
        <x:v>44842</x:v>
      </x:c>
      <x:c r="I69" s="35" t="str">
        <x:v>Activo</x:v>
      </x:c>
      <x:c r="J69" s="35" t="str">
        <x:v>Sin diligenciar</x:v>
      </x:c>
    </x:row>
    <x:row r="70" ht="20" customHeight="1">
      <x:c r="A70" s="34" t="str">
        <x:v>Lote 4 Pk</x:v>
      </x:c>
      <x:c r="B70" s="34" t="str"/>
      <x:c r="C70" s="35" t="str">
        <x:v>CC</x:v>
      </x:c>
      <x:c r="D70" s="36" t="str">
        <x:v>1079914995</x:v>
      </x:c>
      <x:c r="E70" s="34" t="str">
        <x:v>Jairo Segundo</x:v>
      </x:c>
      <x:c r="F70" s="34" t="str">
        <x:v>Caballero Guerrero</x:v>
      </x:c>
      <x:c r="G70" s="34" t="str">
        <x:v>Galponero</x:v>
      </x:c>
      <x:c r="H70" s="37" t="n">
        <x:v>46017</x:v>
      </x:c>
      <x:c r="I70" s="35" t="str">
        <x:v>Activo</x:v>
      </x:c>
      <x:c r="J70" s="35" t="str">
        <x:v>Sin diligenciar</x:v>
      </x:c>
    </x:row>
    <x:row r="71" ht="20" customHeight="1">
      <x:c r="A71" s="34" t="str">
        <x:v>Lote 4 Pk</x:v>
      </x:c>
      <x:c r="B71" s="34" t="str"/>
      <x:c r="C71" s="35" t="str">
        <x:v>CC</x:v>
      </x:c>
      <x:c r="D71" s="36" t="str">
        <x:v>1061988907</x:v>
      </x:c>
      <x:c r="E71" s="34" t="str">
        <x:v>Maria Alejandra</x:v>
      </x:c>
      <x:c r="F71" s="34" t="str">
        <x:v>Gaviria Ruiz</x:v>
      </x:c>
      <x:c r="G71" s="34" t="str">
        <x:v>Clasificadora De Huevos</x:v>
      </x:c>
      <x:c r="H71" s="37" t="n">
        <x:v>46101</x:v>
      </x:c>
      <x:c r="I71" s="35" t="str">
        <x:v>Activo</x:v>
      </x:c>
      <x:c r="J71" s="35" t="str">
        <x:v>Sin diligenciar</x:v>
      </x:c>
    </x:row>
    <x:row r="72" ht="20" customHeight="1">
      <x:c r="A72" s="34" t="str">
        <x:v>Lote 4 Pk</x:v>
      </x:c>
      <x:c r="B72" s="34" t="str"/>
      <x:c r="C72" s="35" t="str">
        <x:v>CC</x:v>
      </x:c>
      <x:c r="D72" s="36" t="str">
        <x:v>1102354275</x:v>
      </x:c>
      <x:c r="E72" s="34" t="str">
        <x:v>Carlos Humberto</x:v>
      </x:c>
      <x:c r="F72" s="34" t="str">
        <x:v>Osorio Hernandez</x:v>
      </x:c>
      <x:c r="G72" s="34" t="str">
        <x:v>Galponero</x:v>
      </x:c>
      <x:c r="H72" s="37" t="n">
        <x:v>44314</x:v>
      </x:c>
      <x:c r="I72" s="35" t="str">
        <x:v>Activo</x:v>
      </x:c>
      <x:c r="J72" s="35" t="str">
        <x:v>Sin diligenciar</x:v>
      </x:c>
    </x:row>
    <x:row r="73" ht="20" customHeight="1">
      <x:c r="A73" s="34" t="str">
        <x:v>Lote 4 Pk</x:v>
      </x:c>
      <x:c r="B73" s="34" t="str"/>
      <x:c r="C73" s="35" t="str">
        <x:v>CC</x:v>
      </x:c>
      <x:c r="D73" s="36" t="str">
        <x:v>5795493</x:v>
      </x:c>
      <x:c r="E73" s="34" t="str">
        <x:v>Luis Jesus</x:v>
      </x:c>
      <x:c r="F73" s="34" t="str">
        <x:v>Serrano Gomez</x:v>
      </x:c>
      <x:c r="G73" s="34" t="str">
        <x:v>Galponero</x:v>
      </x:c>
      <x:c r="H73" s="37" t="n">
        <x:v>41817</x:v>
      </x:c>
      <x:c r="I73" s="35" t="str">
        <x:v>Activo</x:v>
      </x:c>
      <x:c r="J73" s="35" t="str">
        <x:v>Sin diligenciar</x:v>
      </x:c>
    </x:row>
    <x:row r="74" ht="20" customHeight="1">
      <x:c r="A74" s="34" t="str">
        <x:v>Lote 4 Pk</x:v>
      </x:c>
      <x:c r="B74" s="34" t="str"/>
      <x:c r="C74" s="35" t="str">
        <x:v>CC</x:v>
      </x:c>
      <x:c r="D74" s="36" t="str">
        <x:v>1110172761</x:v>
      </x:c>
      <x:c r="E74" s="34" t="str">
        <x:v>Anderson</x:v>
      </x:c>
      <x:c r="F74" s="34" t="str">
        <x:v>Vaquiro Aroca</x:v>
      </x:c>
      <x:c r="G74" s="34" t="str">
        <x:v>Galponero</x:v>
      </x:c>
      <x:c r="H74" s="37" t="n">
        <x:v>44963</x:v>
      </x:c>
      <x:c r="I74" s="35" t="str">
        <x:v>Activo</x:v>
      </x:c>
      <x:c r="J74" s="35" t="str">
        <x:v>Sin diligenciar</x:v>
      </x:c>
    </x:row>
    <x:row r="75" ht="20" customHeight="1">
      <x:c r="A75" s="34" t="str">
        <x:v>Lote 5 (Lote 4 Pk)</x:v>
      </x:c>
      <x:c r="B75" s="34" t="str"/>
      <x:c r="C75" s="35" t="str">
        <x:v>CC</x:v>
      </x:c>
      <x:c r="D75" s="36" t="str">
        <x:v>1148199473</x:v>
      </x:c>
      <x:c r="E75" s="34" t="str">
        <x:v>Jose David</x:v>
      </x:c>
      <x:c r="F75" s="34" t="str">
        <x:v>Orozco Gamarra</x:v>
      </x:c>
      <x:c r="G75" s="34" t="str">
        <x:v>Galponero</x:v>
      </x:c>
      <x:c r="H75" s="37" t="n">
        <x:v>45666</x:v>
      </x:c>
      <x:c r="I75" s="35" t="str">
        <x:v>Activo</x:v>
      </x:c>
      <x:c r="J75" s="35" t="str">
        <x:v>Sin diligenciar</x:v>
      </x:c>
    </x:row>
    <x:row r="76" ht="20" customHeight="1">
      <x:c r="A76" s="34" t="str">
        <x:v>Lote 5 Pk</x:v>
      </x:c>
      <x:c r="B76" s="34" t="str"/>
      <x:c r="C76" s="35" t="str">
        <x:v>CC</x:v>
      </x:c>
      <x:c r="D76" s="36" t="str">
        <x:v>91355981</x:v>
      </x:c>
      <x:c r="E76" s="34" t="str">
        <x:v>Oscar Iban</x:v>
      </x:c>
      <x:c r="F76" s="34" t="str">
        <x:v>Almeida Moreno</x:v>
      </x:c>
      <x:c r="G76" s="34" t="str">
        <x:v>Galponero</x:v>
      </x:c>
      <x:c r="H76" s="37" t="n">
        <x:v>45017</x:v>
      </x:c>
      <x:c r="I76" s="35" t="str">
        <x:v>Activo</x:v>
      </x:c>
      <x:c r="J76" s="35" t="str">
        <x:v>Sin diligenciar</x:v>
      </x:c>
    </x:row>
    <x:row r="77" ht="20" customHeight="1">
      <x:c r="A77" s="34" t="str">
        <x:v>Lote 5 Pk</x:v>
      </x:c>
      <x:c r="B77" s="34" t="str"/>
      <x:c r="C77" s="35" t="str">
        <x:v>CC</x:v>
      </x:c>
      <x:c r="D77" s="36" t="str">
        <x:v>91459009</x:v>
      </x:c>
      <x:c r="E77" s="34" t="str">
        <x:v>German Augusto</x:v>
      </x:c>
      <x:c r="F77" s="34" t="str">
        <x:v>Cabrera Osorio</x:v>
      </x:c>
      <x:c r="G77" s="34" t="str">
        <x:v>Galponero</x:v>
      </x:c>
      <x:c r="H77" s="37" t="n">
        <x:v>44502</x:v>
      </x:c>
      <x:c r="I77" s="35" t="str">
        <x:v>Activo</x:v>
      </x:c>
      <x:c r="J77" s="35" t="str">
        <x:v>Sin diligenciar</x:v>
      </x:c>
    </x:row>
    <x:row r="78" ht="20" customHeight="1">
      <x:c r="A78" s="34" t="str">
        <x:v>Lote Levante</x:v>
      </x:c>
      <x:c r="B78" s="34" t="str"/>
      <x:c r="C78" s="35" t="str">
        <x:v>CC</x:v>
      </x:c>
      <x:c r="D78" s="36" t="str">
        <x:v>91457228</x:v>
      </x:c>
      <x:c r="E78" s="34" t="str">
        <x:v>Efrain</x:v>
      </x:c>
      <x:c r="F78" s="34" t="str">
        <x:v>Cabrera Osorio</x:v>
      </x:c>
      <x:c r="G78" s="34" t="str">
        <x:v>Galponero</x:v>
      </x:c>
      <x:c r="H78" s="37" t="n">
        <x:v>44265</x:v>
      </x:c>
      <x:c r="I78" s="35" t="str">
        <x:v>Activo</x:v>
      </x:c>
      <x:c r="J78" s="35" t="str">
        <x:v>Sin diligenciar</x:v>
      </x:c>
    </x:row>
    <x:row r="79" ht="20" customHeight="1">
      <x:c r="A79" s="34" t="str">
        <x:v>Mac Pollo</x:v>
      </x:c>
      <x:c r="B79" s="34" t="str"/>
      <x:c r="C79" s="35" t="str">
        <x:v>CC</x:v>
      </x:c>
      <x:c r="D79" s="36" t="str">
        <x:v>1005448189</x:v>
      </x:c>
      <x:c r="E79" s="34" t="str">
        <x:v>Ailyn Yurany</x:v>
      </x:c>
      <x:c r="F79" s="34" t="str">
        <x:v>Pava Rodriguez</x:v>
      </x:c>
      <x:c r="G79" s="34" t="str">
        <x:v>Auxiliar De Cafeteria</x:v>
      </x:c>
      <x:c r="H79" s="37" t="n">
        <x:v>46128</x:v>
      </x:c>
      <x:c r="I79" s="35" t="str">
        <x:v>Activo</x:v>
      </x:c>
      <x:c r="J79" s="35" t="str">
        <x:v>Sin diligenciar</x:v>
      </x:c>
    </x:row>
    <x:row r="80" ht="20" customHeight="1">
      <x:c r="A80" s="34" t="str">
        <x:v>Mac Pollo</x:v>
      </x:c>
      <x:c r="B80" s="34" t="str"/>
      <x:c r="C80" s="35" t="str">
        <x:v>CC</x:v>
      </x:c>
      <x:c r="D80" s="36" t="str">
        <x:v>63524954</x:v>
      </x:c>
      <x:c r="E80" s="34" t="str">
        <x:v>Blanca Lucely</x:v>
      </x:c>
      <x:c r="F80" s="34" t="str">
        <x:v>Ramirez Rojas</x:v>
      </x:c>
      <x:c r="G80" s="34" t="str">
        <x:v>Auxiliar De Cafeteria</x:v>
      </x:c>
      <x:c r="H80" s="37" t="n">
        <x:v>46064</x:v>
      </x:c>
      <x:c r="I80" s="35" t="str">
        <x:v>Activo</x:v>
      </x:c>
      <x:c r="J80" s="35" t="str">
        <x:v>Sin diligenciar</x:v>
      </x:c>
    </x:row>
    <x:row r="81" ht="20" customHeight="1">
      <x:c r="A81" s="34" t="str">
        <x:v>Mac Pollo</x:v>
      </x:c>
      <x:c r="B81" s="34" t="str"/>
      <x:c r="C81" s="35" t="str">
        <x:v>CC</x:v>
      </x:c>
      <x:c r="D81" s="36" t="str">
        <x:v>1000150704</x:v>
      </x:c>
      <x:c r="E81" s="34" t="str">
        <x:v>Maria Camila</x:v>
      </x:c>
      <x:c r="F81" s="34" t="str">
        <x:v>Zambrano Arias</x:v>
      </x:c>
      <x:c r="G81" s="34" t="str">
        <x:v>Auxiliar De Cafeteria</x:v>
      </x:c>
      <x:c r="H81" s="37" t="n">
        <x:v>46064</x:v>
      </x:c>
      <x:c r="I81" s="35" t="str">
        <x:v>Activo</x:v>
      </x:c>
      <x:c r="J81" s="35" t="str">
        <x:v>Sin diligenciar</x:v>
      </x:c>
    </x:row>
    <x:row r="82" ht="20" customHeight="1">
      <x:c r="A82" s="34" t="str">
        <x:v>Nexans</x:v>
      </x:c>
      <x:c r="B82" s="34" t="str"/>
      <x:c r="C82" s="35" t="str">
        <x:v>CC</x:v>
      </x:c>
      <x:c r="D82" s="36" t="str">
        <x:v>1042436886</x:v>
      </x:c>
      <x:c r="E82" s="34" t="str">
        <x:v>Fabian Alexis</x:v>
      </x:c>
      <x:c r="F82" s="34" t="str">
        <x:v>Gomez Duque</x:v>
      </x:c>
      <x:c r="G82" s="34" t="str">
        <x:v>Conductor</x:v>
      </x:c>
      <x:c r="H82" s="37" t="n">
        <x:v>44734</x:v>
      </x:c>
      <x:c r="I82" s="35" t="str">
        <x:v>Activo</x:v>
      </x:c>
      <x:c r="J82" s="35" t="str">
        <x:v>Sin diligenciar</x:v>
      </x:c>
    </x:row>
    <x:row r="83" ht="20" customHeight="1">
      <x:c r="A83" s="34" t="str">
        <x:v>Nexans</x:v>
      </x:c>
      <x:c r="B83" s="34" t="str"/>
      <x:c r="C83" s="35" t="str">
        <x:v>CC</x:v>
      </x:c>
      <x:c r="D83" s="36" t="str">
        <x:v>1095944363</x:v>
      </x:c>
      <x:c r="E83" s="34" t="str">
        <x:v>Marisol</x:v>
      </x:c>
      <x:c r="F83" s="34" t="str">
        <x:v>Rangel Bohorquez</x:v>
      </x:c>
      <x:c r="G83" s="34" t="str">
        <x:v>Auxiliar De Servicios Generales</x:v>
      </x:c>
      <x:c r="H83" s="37" t="n">
        <x:v>45397</x:v>
      </x:c>
      <x:c r="I83" s="35" t="str">
        <x:v>Activo</x:v>
      </x:c>
      <x:c r="J83" s="35" t="str">
        <x:v>Sin diligenciar</x:v>
      </x:c>
    </x:row>
    <x:row r="84" ht="20" customHeight="1">
      <x:c r="A84" s="34" t="str">
        <x:v>Oxy La Cira</x:v>
      </x:c>
      <x:c r="B84" s="34" t="str"/>
      <x:c r="C84" s="35" t="str">
        <x:v>CC</x:v>
      </x:c>
      <x:c r="D84" s="36" t="str">
        <x:v>37580161</x:v>
      </x:c>
      <x:c r="E84" s="34" t="str">
        <x:v>Claudia Patricia</x:v>
      </x:c>
      <x:c r="F84" s="34" t="str">
        <x:v>Burgos Vasquez</x:v>
      </x:c>
      <x:c r="G84" s="34" t="str">
        <x:v>Auxiliar De Cocina</x:v>
      </x:c>
      <x:c r="H84" s="37" t="n">
        <x:v>46029</x:v>
      </x:c>
      <x:c r="I84" s="35" t="str">
        <x:v>Activo</x:v>
      </x:c>
      <x:c r="J84" s="35" t="str">
        <x:v>Sin diligenciar</x:v>
      </x:c>
    </x:row>
    <x:row r="85" ht="20" customHeight="1">
      <x:c r="A85" s="34" t="str">
        <x:v>Oxy La Cira</x:v>
      </x:c>
      <x:c r="B85" s="34" t="str"/>
      <x:c r="C85" s="35" t="str">
        <x:v>CC</x:v>
      </x:c>
      <x:c r="D85" s="36" t="str">
        <x:v>1098220868</x:v>
      </x:c>
      <x:c r="E85" s="34" t="str">
        <x:v>Luis David</x:v>
      </x:c>
      <x:c r="F85" s="34" t="str">
        <x:v>Jerez Pena</x:v>
      </x:c>
      <x:c r="G85" s="34" t="str">
        <x:v>Chef Relevante</x:v>
      </x:c>
      <x:c r="H85" s="37" t="n">
        <x:v>43661</x:v>
      </x:c>
      <x:c r="I85" s="35" t="str">
        <x:v>Activo</x:v>
      </x:c>
      <x:c r="J85" s="35" t="str">
        <x:v>Sin diligenciar</x:v>
      </x:c>
    </x:row>
    <x:row r="86" ht="20" customHeight="1">
      <x:c r="A86" s="34" t="str">
        <x:v>Oxy La Cira</x:v>
      </x:c>
      <x:c r="B86" s="34" t="str"/>
      <x:c r="C86" s="35" t="str">
        <x:v>CC</x:v>
      </x:c>
      <x:c r="D86" s="36" t="str">
        <x:v>28070442</x:v>
      </x:c>
      <x:c r="E86" s="34" t="str">
        <x:v>Martha</x:v>
      </x:c>
      <x:c r="F86" s="34" t="str">
        <x:v>Pimentel Quiroga</x:v>
      </x:c>
      <x:c r="G86" s="34" t="str">
        <x:v>Auxiliar De Cocina</x:v>
      </x:c>
      <x:c r="H86" s="37" t="n">
        <x:v>44196</x:v>
      </x:c>
      <x:c r="I86" s="35" t="str">
        <x:v>Activo</x:v>
      </x:c>
      <x:c r="J86" s="35" t="str">
        <x:v>Sin diligenciar</x:v>
      </x:c>
    </x:row>
    <x:row r="87" ht="20" customHeight="1">
      <x:c r="A87" s="34" t="str">
        <x:v>Palmas</x:v>
      </x:c>
      <x:c r="B87" s="34" t="str"/>
      <x:c r="C87" s="35" t="str">
        <x:v>CC</x:v>
      </x:c>
      <x:c r="D87" s="36" t="str">
        <x:v>1003091379</x:v>
      </x:c>
      <x:c r="E87" s="34" t="str">
        <x:v>Narlys Adriana</x:v>
      </x:c>
      <x:c r="F87" s="34" t="str">
        <x:v>Ballesteros Carmona</x:v>
      </x:c>
      <x:c r="G87" s="34" t="str">
        <x:v>Auxiliar De Cocina</x:v>
      </x:c>
      <x:c r="H87" s="37" t="n">
        <x:v>46078</x:v>
      </x:c>
      <x:c r="I87" s="35" t="str">
        <x:v>Activo</x:v>
      </x:c>
      <x:c r="J87" s="35" t="str">
        <x:v>Sin diligenciar</x:v>
      </x:c>
    </x:row>
    <x:row r="88" ht="20" customHeight="1">
      <x:c r="A88" s="34" t="str">
        <x:v>Palmas</x:v>
      </x:c>
      <x:c r="B88" s="34" t="str"/>
      <x:c r="C88" s="35" t="str">
        <x:v>CC</x:v>
      </x:c>
      <x:c r="D88" s="36" t="str">
        <x:v>1091678380</x:v>
      </x:c>
      <x:c r="E88" s="34" t="str">
        <x:v>Linsey Dayana</x:v>
      </x:c>
      <x:c r="F88" s="34" t="str">
        <x:v>Beltran Grismaldo</x:v>
      </x:c>
      <x:c r="G88" s="34" t="str">
        <x:v>Auxiliar De Servicios Generales</x:v>
      </x:c>
      <x:c r="H88" s="37" t="n">
        <x:v>44257</x:v>
      </x:c>
      <x:c r="I88" s="35" t="str">
        <x:v>Activo</x:v>
      </x:c>
      <x:c r="J88" s="35" t="str">
        <x:v>Sin diligenciar</x:v>
      </x:c>
    </x:row>
    <x:row r="89" ht="20" customHeight="1">
      <x:c r="A89" s="34" t="str">
        <x:v>Palmas</x:v>
      </x:c>
      <x:c r="B89" s="34" t="str"/>
      <x:c r="C89" s="35" t="str">
        <x:v>CC</x:v>
      </x:c>
      <x:c r="D89" s="36" t="str">
        <x:v>1065237466</x:v>
      </x:c>
      <x:c r="E89" s="34" t="str">
        <x:v>Luz Dary</x:v>
      </x:c>
      <x:c r="F89" s="34" t="str">
        <x:v>Carmona Ramirez</x:v>
      </x:c>
      <x:c r="G89" s="34" t="str">
        <x:v>Auxiliar De Cocina</x:v>
      </x:c>
      <x:c r="H89" s="37" t="n">
        <x:v>46118</x:v>
      </x:c>
      <x:c r="I89" s="35" t="str">
        <x:v>Activo</x:v>
      </x:c>
      <x:c r="J89" s="35" t="str">
        <x:v>Sin diligenciar</x:v>
      </x:c>
    </x:row>
    <x:row r="90" ht="20" customHeight="1">
      <x:c r="A90" s="34" t="str">
        <x:v>Palmas</x:v>
      </x:c>
      <x:c r="B90" s="34" t="str"/>
      <x:c r="C90" s="35" t="str">
        <x:v>CC</x:v>
      </x:c>
      <x:c r="D90" s="36" t="str">
        <x:v>85476893</x:v>
      </x:c>
      <x:c r="E90" s="34" t="str">
        <x:v>Manuel Agapito</x:v>
      </x:c>
      <x:c r="F90" s="34" t="str">
        <x:v>Guerrero Rivera</x:v>
      </x:c>
      <x:c r="G90" s="34" t="str">
        <x:v>Supervisor De Campo</x:v>
      </x:c>
      <x:c r="H90" s="37" t="n">
        <x:v>45054</x:v>
      </x:c>
      <x:c r="I90" s="35" t="str">
        <x:v>Activo</x:v>
      </x:c>
      <x:c r="J90" s="35" t="str">
        <x:v>Sin diligenciar</x:v>
      </x:c>
    </x:row>
    <x:row r="91" ht="20" customHeight="1">
      <x:c r="A91" s="34" t="str">
        <x:v>Palmas</x:v>
      </x:c>
      <x:c r="B91" s="34" t="str"/>
      <x:c r="C91" s="35" t="str">
        <x:v>CC</x:v>
      </x:c>
      <x:c r="D91" s="36" t="str">
        <x:v>91002571</x:v>
      </x:c>
      <x:c r="E91" s="34" t="str">
        <x:v>Pedro Pablo</x:v>
      </x:c>
      <x:c r="F91" s="34" t="str">
        <x:v>Orduz Rodriguez</x:v>
      </x:c>
      <x:c r="G91" s="34" t="str">
        <x:v>Cocinero 1</x:v>
      </x:c>
      <x:c r="H91" s="37" t="n">
        <x:v>42303</x:v>
      </x:c>
      <x:c r="I91" s="35" t="str">
        <x:v>Activo</x:v>
      </x:c>
      <x:c r="J91" s="35" t="str">
        <x:v>Sin diligenciar</x:v>
      </x:c>
    </x:row>
    <x:row r="92" ht="20" customHeight="1">
      <x:c r="A92" s="34" t="str">
        <x:v>Palmas</x:v>
      </x:c>
      <x:c r="B92" s="34" t="str"/>
      <x:c r="C92" s="35" t="str">
        <x:v>CC</x:v>
      </x:c>
      <x:c r="D92" s="36" t="str">
        <x:v>42447807</x:v>
      </x:c>
      <x:c r="E92" s="34" t="str">
        <x:v>Esmith</x:v>
      </x:c>
      <x:c r="F92" s="34" t="str">
        <x:v>Perez Bermudez</x:v>
      </x:c>
      <x:c r="G92" s="34" t="str">
        <x:v>Auxiliar De Cocina</x:v>
      </x:c>
      <x:c r="H92" s="37" t="n">
        <x:v>43510</x:v>
      </x:c>
      <x:c r="I92" s="35" t="str">
        <x:v>Activo</x:v>
      </x:c>
      <x:c r="J92" s="35" t="str">
        <x:v>Sin diligenciar</x:v>
      </x:c>
    </x:row>
    <x:row r="93" ht="20" customHeight="1">
      <x:c r="A93" s="34" t="str">
        <x:v>Palmas</x:v>
      </x:c>
      <x:c r="B93" s="34" t="str"/>
      <x:c r="C93" s="35" t="str">
        <x:v>CC</x:v>
      </x:c>
      <x:c r="D93" s="36" t="str">
        <x:v>28218054</x:v>
      </x:c>
      <x:c r="E93" s="34" t="str">
        <x:v>Lucy</x:v>
      </x:c>
      <x:c r="F93" s="34" t="str">
        <x:v>Rios Saavedra</x:v>
      </x:c>
      <x:c r="G93" s="34" t="str">
        <x:v>Auxiliar De Cocina</x:v>
      </x:c>
      <x:c r="H93" s="37" t="n">
        <x:v>43255</x:v>
      </x:c>
      <x:c r="I93" s="35" t="str">
        <x:v>Activo</x:v>
      </x:c>
      <x:c r="J93" s="35" t="str">
        <x:v>Sin diligenciar</x:v>
      </x:c>
    </x:row>
    <x:row r="94" ht="20" customHeight="1">
      <x:c r="A94" s="34" t="str">
        <x:v>Palmas</x:v>
      </x:c>
      <x:c r="B94" s="34" t="str"/>
      <x:c r="C94" s="35" t="str">
        <x:v>CC</x:v>
      </x:c>
      <x:c r="D94" s="36" t="str">
        <x:v>1065238715</x:v>
      </x:c>
      <x:c r="E94" s="34" t="str">
        <x:v>Johana</x:v>
      </x:c>
      <x:c r="F94" s="34" t="str">
        <x:v>Samaca Gutierrez</x:v>
      </x:c>
      <x:c r="G94" s="34" t="str">
        <x:v>Auxiliar De Cocina</x:v>
      </x:c>
      <x:c r="H94" s="37" t="n">
        <x:v>43255</x:v>
      </x:c>
      <x:c r="I94" s="35" t="str">
        <x:v>Activo</x:v>
      </x:c>
      <x:c r="J94" s="35" t="str">
        <x:v>Sin diligenciar</x:v>
      </x:c>
    </x:row>
    <x:row r="95" ht="20" customHeight="1">
      <x:c r="A95" s="34" t="str">
        <x:v>Palmas</x:v>
      </x:c>
      <x:c r="B95" s="34" t="str"/>
      <x:c r="C95" s="35" t="str">
        <x:v>CC</x:v>
      </x:c>
      <x:c r="D95" s="36" t="str">
        <x:v>1091664860</x:v>
      </x:c>
      <x:c r="E95" s="34" t="str">
        <x:v>Maireth</x:v>
      </x:c>
      <x:c r="F95" s="34" t="str">
        <x:v>Sanchez Peñuela</x:v>
      </x:c>
      <x:c r="G95" s="34" t="str">
        <x:v>Auxiliar De Cocina</x:v>
      </x:c>
      <x:c r="H95" s="37" t="n">
        <x:v>45035</x:v>
      </x:c>
      <x:c r="I95" s="35" t="str">
        <x:v>Activo</x:v>
      </x:c>
      <x:c r="J95" s="35" t="str">
        <x:v>Sin diligenciar</x:v>
      </x:c>
    </x:row>
    <x:row r="96" ht="20" customHeight="1">
      <x:c r="A96" s="34" t="str">
        <x:v>Piscicultura</x:v>
      </x:c>
      <x:c r="B96" s="34" t="str"/>
      <x:c r="C96" s="35" t="str">
        <x:v>CC</x:v>
      </x:c>
      <x:c r="D96" s="36" t="str">
        <x:v>88171598</x:v>
      </x:c>
      <x:c r="E96" s="34" t="str">
        <x:v>Fernando</x:v>
      </x:c>
      <x:c r="F96" s="34" t="str">
        <x:v>Cardenas Mora</x:v>
      </x:c>
      <x:c r="G96" s="34" t="str">
        <x:v>Auxiliar De Servicios Generales</x:v>
      </x:c>
      <x:c r="H96" s="37" t="n">
        <x:v>44840</x:v>
      </x:c>
      <x:c r="I96" s="35" t="str">
        <x:v>Activo</x:v>
      </x:c>
      <x:c r="J96" s="35" t="str">
        <x:v>Sin diligenciar</x:v>
      </x:c>
    </x:row>
    <x:row r="97" ht="20" customHeight="1">
      <x:c r="A97" s="34" t="str">
        <x:v>Piscicultura</x:v>
      </x:c>
      <x:c r="B97" s="34" t="str"/>
      <x:c r="C97" s="35" t="str">
        <x:v>CC</x:v>
      </x:c>
      <x:c r="D97" s="36" t="str">
        <x:v>1094778268</x:v>
      </x:c>
      <x:c r="E97" s="34" t="str">
        <x:v>Blanca Liliana</x:v>
      </x:c>
      <x:c r="F97" s="34" t="str">
        <x:v>Rincon Salazar</x:v>
      </x:c>
      <x:c r="G97" s="34" t="str">
        <x:v>Auxiliar De Servicios Generales</x:v>
      </x:c>
      <x:c r="H97" s="37" t="n">
        <x:v>44502</x:v>
      </x:c>
      <x:c r="I97" s="35" t="str">
        <x:v>Activo</x:v>
      </x:c>
      <x:c r="J97" s="35" t="str">
        <x:v>Sin diligenciar</x:v>
      </x:c>
    </x:row>
    <x:row r="98" ht="20" customHeight="1">
      <x:c r="A98" s="34" t="str">
        <x:v>Planta De Concentrado</x:v>
      </x:c>
      <x:c r="B98" s="34" t="str"/>
      <x:c r="C98" s="35" t="str">
        <x:v>CC</x:v>
      </x:c>
      <x:c r="D98" s="36" t="str">
        <x:v>63524872</x:v>
      </x:c>
      <x:c r="E98" s="34" t="str">
        <x:v>Andrea Margarita</x:v>
      </x:c>
      <x:c r="F98" s="34" t="str">
        <x:v>Barrera Prada</x:v>
      </x:c>
      <x:c r="G98" s="34" t="str">
        <x:v>Gerente Planta De Alimentos Concentrados</x:v>
      </x:c>
      <x:c r="H98" s="37" t="n">
        <x:v>39085</x:v>
      </x:c>
      <x:c r="I98" s="35" t="str">
        <x:v>Activo</x:v>
      </x:c>
      <x:c r="J98" s="35" t="str">
        <x:v>Sin diligenciar</x:v>
      </x:c>
    </x:row>
    <x:row r="99" ht="20" customHeight="1">
      <x:c r="A99" s="34" t="str">
        <x:v>Planta De Concentrado</x:v>
      </x:c>
      <x:c r="B99" s="34" t="str"/>
      <x:c r="C99" s="35" t="str">
        <x:v>CC</x:v>
      </x:c>
      <x:c r="D99" s="36" t="str">
        <x:v>1095915209</x:v>
      </x:c>
      <x:c r="E99" s="34" t="str">
        <x:v>Oscar Javier</x:v>
      </x:c>
      <x:c r="F99" s="34" t="str">
        <x:v>Naranjo Jaimes</x:v>
      </x:c>
      <x:c r="G99" s="34" t="str">
        <x:v>Auxiliar Bodega</x:v>
      </x:c>
      <x:c r="H99" s="37" t="n">
        <x:v>43766</x:v>
      </x:c>
      <x:c r="I99" s="35" t="str">
        <x:v>Activo</x:v>
      </x:c>
      <x:c r="J99" s="35" t="str">
        <x:v>Sin diligenciar</x:v>
      </x:c>
    </x:row>
    <x:row r="100" ht="20" customHeight="1">
      <x:c r="A100" s="34" t="str">
        <x:v>Planta De Concentrado</x:v>
      </x:c>
      <x:c r="B100" s="34" t="str"/>
      <x:c r="C100" s="35" t="str">
        <x:v>CC</x:v>
      </x:c>
      <x:c r="D100" s="36" t="str">
        <x:v>91532107</x:v>
      </x:c>
      <x:c r="E100" s="34" t="str">
        <x:v>German Dario</x:v>
      </x:c>
      <x:c r="F100" s="34" t="str">
        <x:v>Pulido Moreno</x:v>
      </x:c>
      <x:c r="G100" s="34" t="str">
        <x:v>Asistente Planta De Concentrados</x:v>
      </x:c>
      <x:c r="H100" s="37" t="n">
        <x:v>44317</x:v>
      </x:c>
      <x:c r="I100" s="35" t="str">
        <x:v>Activo</x:v>
      </x:c>
      <x:c r="J100" s="35" t="str">
        <x:v>Sin diligenciar</x:v>
      </x:c>
    </x:row>
    <x:row r="101" ht="20" customHeight="1">
      <x:c r="A101" s="34" t="str">
        <x:v>Planta De Concentrado</x:v>
      </x:c>
      <x:c r="B101" s="34" t="str"/>
      <x:c r="C101" s="35" t="str">
        <x:v>CC</x:v>
      </x:c>
      <x:c r="D101" s="36" t="str">
        <x:v>1095915404</x:v>
      </x:c>
      <x:c r="E101" s="34" t="str">
        <x:v>Diego Jose</x:v>
      </x:c>
      <x:c r="F101" s="34" t="str">
        <x:v>Tapias Santos</x:v>
      </x:c>
      <x:c r="G101" s="34" t="str">
        <x:v>Auxiliar Bodega</x:v>
      </x:c>
      <x:c r="H101" s="37" t="n">
        <x:v>44400</x:v>
      </x:c>
      <x:c r="I101" s="35" t="str">
        <x:v>Activo</x:v>
      </x:c>
      <x:c r="J101" s="35" t="str">
        <x:v>Sin diligenciar</x:v>
      </x:c>
    </x:row>
    <x:row r="102" ht="20" customHeight="1">
      <x:c r="A102" s="34" t="str">
        <x:v>Planta De Concentrado</x:v>
      </x:c>
      <x:c r="B102" s="34" t="str"/>
      <x:c r="C102" s="35" t="str">
        <x:v>CC</x:v>
      </x:c>
      <x:c r="D102" s="36" t="str">
        <x:v>1102381105</x:v>
      </x:c>
      <x:c r="E102" s="34" t="str">
        <x:v>Juan Carlos</x:v>
      </x:c>
      <x:c r="F102" s="34" t="str">
        <x:v>Vasquez Maurio</x:v>
      </x:c>
      <x:c r="G102" s="34" t="str">
        <x:v>Auxiliar Bodega</x:v>
      </x:c>
      <x:c r="H102" s="37" t="n">
        <x:v>44186</x:v>
      </x:c>
      <x:c r="I102" s="35" t="str">
        <x:v>Activo</x:v>
      </x:c>
      <x:c r="J102" s="35" t="str">
        <x:v>Sin diligenciar</x:v>
      </x:c>
    </x:row>
    <x:row r="103" ht="20" customHeight="1">
      <x:c r="A103" s="34" t="str">
        <x:v>Planta Prelistos</x:v>
      </x:c>
      <x:c r="B103" s="34" t="str"/>
      <x:c r="C103" s="35" t="str">
        <x:v>CC</x:v>
      </x:c>
      <x:c r="D103" s="36" t="str">
        <x:v>37619116</x:v>
      </x:c>
      <x:c r="E103" s="34" t="str">
        <x:v>Yenny Paola</x:v>
      </x:c>
      <x:c r="F103" s="34" t="str">
        <x:v>Noguera Jimenez</x:v>
      </x:c>
      <x:c r="G103" s="34" t="str">
        <x:v>Auxiliar De Producción De Alimentos</x:v>
      </x:c>
      <x:c r="H103" s="37" t="n">
        <x:v>45803</x:v>
      </x:c>
      <x:c r="I103" s="35" t="str">
        <x:v>Activo</x:v>
      </x:c>
      <x:c r="J103" s="35" t="str">
        <x:v>Sin diligenciar</x:v>
      </x:c>
    </x:row>
    <x:row r="104" ht="20" customHeight="1">
      <x:c r="A104" s="34" t="str">
        <x:v>Principal</x:v>
      </x:c>
      <x:c r="B104" s="34" t="str"/>
      <x:c r="C104" s="35" t="str">
        <x:v>CC</x:v>
      </x:c>
      <x:c r="D104" s="36" t="str">
        <x:v>1005297711</x:v>
      </x:c>
      <x:c r="E104" s="34" t="str">
        <x:v> Daniela</x:v>
      </x:c>
      <x:c r="F104" s="34" t="str">
        <x:v>Bello Pineda</x:v>
      </x:c>
      <x:c r="G104" s="34" t="str">
        <x:v>Asistente Costos</x:v>
      </x:c>
      <x:c r="H104" s="37" t="n">
        <x:v>45621</x:v>
      </x:c>
      <x:c r="I104" s="35" t="str">
        <x:v>Activo</x:v>
      </x:c>
      <x:c r="J104" s="35" t="str">
        <x:v>Sin diligenciar</x:v>
      </x:c>
    </x:row>
    <x:row r="105" ht="20" customHeight="1">
      <x:c r="A105" s="34" t="str">
        <x:v>Principal</x:v>
      </x:c>
      <x:c r="B105" s="34" t="str"/>
      <x:c r="C105" s="35" t="str">
        <x:v>CC</x:v>
      </x:c>
      <x:c r="D105" s="36" t="str">
        <x:v>91478568</x:v>
      </x:c>
      <x:c r="E105" s="34" t="str">
        <x:v>Mauricio</x:v>
      </x:c>
      <x:c r="F105" s="34" t="str">
        <x:v>Moya</x:v>
      </x:c>
      <x:c r="G105" s="34" t="str">
        <x:v>Coordinador De Activos</x:v>
      </x:c>
      <x:c r="H105" s="37" t="n">
        <x:v>40214</x:v>
      </x:c>
      <x:c r="I105" s="35" t="str">
        <x:v>Activo</x:v>
      </x:c>
      <x:c r="J105" s="35" t="str">
        <x:v>Sin diligenciar</x:v>
      </x:c>
    </x:row>
    <x:row r="106" ht="20" customHeight="1">
      <x:c r="A106" s="34" t="str">
        <x:v>Principal</x:v>
      </x:c>
      <x:c r="B106" s="34" t="str"/>
      <x:c r="C106" s="35" t="str">
        <x:v>CC</x:v>
      </x:c>
      <x:c r="D106" s="36" t="str">
        <x:v>1055916809</x:v>
      </x:c>
      <x:c r="E106" s="34" t="str">
        <x:v>Yuldor</x:v>
      </x:c>
      <x:c r="F106" s="34" t="str">
        <x:v>Osorio Ramirez</x:v>
      </x:c>
      <x:c r="G106" s="34" t="str">
        <x:v>Supervisor De Campo</x:v>
      </x:c>
      <x:c r="H106" s="37" t="n">
        <x:v>43814</x:v>
      </x:c>
      <x:c r="I106" s="35" t="str">
        <x:v>Activo</x:v>
      </x:c>
      <x:c r="J106" s="35" t="str">
        <x:v>Sin diligenciar</x:v>
      </x:c>
    </x:row>
    <x:row r="107" ht="20" customHeight="1">
      <x:c r="A107" s="34" t="str">
        <x:v>Puerto Bahia</x:v>
      </x:c>
      <x:c r="B107" s="34" t="str"/>
      <x:c r="C107" s="35" t="str">
        <x:v>CC</x:v>
      </x:c>
      <x:c r="D107" s="36" t="str">
        <x:v>1047507308</x:v>
      </x:c>
      <x:c r="E107" s="34" t="str">
        <x:v>Laura Vanessa</x:v>
      </x:c>
      <x:c r="F107" s="34" t="str">
        <x:v>Garcia Meza</x:v>
      </x:c>
      <x:c r="G107" s="34" t="str">
        <x:v>Auxiliar Supernumerario</x:v>
      </x:c>
      <x:c r="H107" s="37" t="n">
        <x:v>46050</x:v>
      </x:c>
      <x:c r="I107" s="35" t="str">
        <x:v>Activo</x:v>
      </x:c>
      <x:c r="J107" s="35" t="str">
        <x:v>Sin diligenciar</x:v>
      </x:c>
    </x:row>
    <x:row r="108" ht="20" customHeight="1">
      <x:c r="A108" s="34" t="str">
        <x:v>Sala De Desposte</x:v>
      </x:c>
      <x:c r="B108" s="34" t="str"/>
      <x:c r="C108" s="35" t="str">
        <x:v>CC</x:v>
      </x:c>
      <x:c r="D108" s="36" t="str">
        <x:v>91513320</x:v>
      </x:c>
      <x:c r="E108" s="34" t="str">
        <x:v>Juan Carlos</x:v>
      </x:c>
      <x:c r="F108" s="34" t="str">
        <x:v>Boyaca Gonzalez</x:v>
      </x:c>
      <x:c r="G108" s="34" t="str">
        <x:v>Auxiliar Sala De Acondicionamiento De Carne</x:v>
      </x:c>
      <x:c r="H108" s="37" t="n">
        <x:v>44893</x:v>
      </x:c>
      <x:c r="I108" s="35" t="str">
        <x:v>Activo</x:v>
      </x:c>
      <x:c r="J108" s="35" t="str">
        <x:v>Sin diligenciar</x:v>
      </x:c>
    </x:row>
    <x:row r="109" ht="20" customHeight="1">
      <x:c r="A109" s="34" t="str">
        <x:v>Sala De Desposte</x:v>
      </x:c>
      <x:c r="B109" s="34" t="str"/>
      <x:c r="C109" s="35" t="str">
        <x:v>CC</x:v>
      </x:c>
      <x:c r="D109" s="36" t="str">
        <x:v>88308011</x:v>
      </x:c>
      <x:c r="E109" s="34" t="str">
        <x:v>Omar Alberto</x:v>
      </x:c>
      <x:c r="F109" s="34" t="str">
        <x:v>Camargo Manosalva</x:v>
      </x:c>
      <x:c r="G109" s="34" t="str">
        <x:v>Auxiliar De Bodega</x:v>
      </x:c>
      <x:c r="H109" s="37" t="n">
        <x:v>45250</x:v>
      </x:c>
      <x:c r="I109" s="35" t="str">
        <x:v>Activo</x:v>
      </x:c>
      <x:c r="J109" s="35" t="str">
        <x:v>Sin diligenciar</x:v>
      </x:c>
    </x:row>
    <x:row r="110" ht="20" customHeight="1">
      <x:c r="A110" s="34" t="str">
        <x:v>Sala De Desposte</x:v>
      </x:c>
      <x:c r="B110" s="34" t="str"/>
      <x:c r="C110" s="35" t="str">
        <x:v>CC</x:v>
      </x:c>
      <x:c r="D110" s="36" t="str">
        <x:v>1098703000</x:v>
      </x:c>
      <x:c r="E110" s="34" t="str">
        <x:v>Pedro Smith</x:v>
      </x:c>
      <x:c r="F110" s="34" t="str">
        <x:v>Contreras Barajas</x:v>
      </x:c>
      <x:c r="G110" s="34" t="str">
        <x:v>Auxiliar Bodega</x:v>
      </x:c>
      <x:c r="H110" s="37" t="n">
        <x:v>45827</x:v>
      </x:c>
      <x:c r="I110" s="35" t="str">
        <x:v>Activo</x:v>
      </x:c>
      <x:c r="J110" s="35" t="str">
        <x:v>Sin diligenciar</x:v>
      </x:c>
    </x:row>
    <x:row r="111" ht="20" customHeight="1">
      <x:c r="A111" s="34" t="str">
        <x:v>Sala De Desposte</x:v>
      </x:c>
      <x:c r="B111" s="34" t="str"/>
      <x:c r="C111" s="35" t="str">
        <x:v>CC</x:v>
      </x:c>
      <x:c r="D111" s="36" t="str">
        <x:v>91247339</x:v>
      </x:c>
      <x:c r="E111" s="34" t="str">
        <x:v>Arturo</x:v>
      </x:c>
      <x:c r="F111" s="34" t="str">
        <x:v>Gomez Estevez</x:v>
      </x:c>
      <x:c r="G111" s="34" t="str">
        <x:v>Auxiliar Acondicionamiento Cárnico</x:v>
      </x:c>
      <x:c r="H111" s="37" t="n">
        <x:v>43579</x:v>
      </x:c>
      <x:c r="I111" s="35" t="str">
        <x:v>Activo</x:v>
      </x:c>
      <x:c r="J111" s="35" t="str">
        <x:v>Sin diligenciar</x:v>
      </x:c>
    </x:row>
    <x:row r="112" ht="20" customHeight="1">
      <x:c r="A112" s="34" t="str">
        <x:v>Sala De Desposte</x:v>
      </x:c>
      <x:c r="B112" s="34" t="str"/>
      <x:c r="C112" s="35" t="str">
        <x:v>CC</x:v>
      </x:c>
      <x:c r="D112" s="36" t="str">
        <x:v>77181089</x:v>
      </x:c>
      <x:c r="E112" s="34" t="str">
        <x:v>Isaias</x:v>
      </x:c>
      <x:c r="F112" s="34" t="str">
        <x:v>Salazar Santiago</x:v>
      </x:c>
      <x:c r="G112" s="34" t="str">
        <x:v>Profesional Acondicionamiento Cárnico</x:v>
      </x:c>
      <x:c r="H112" s="37" t="n">
        <x:v>38160</x:v>
      </x:c>
      <x:c r="I112" s="35" t="str">
        <x:v>Activo</x:v>
      </x:c>
      <x:c r="J112" s="35" t="str">
        <x:v>Sin diligenciar</x:v>
      </x:c>
    </x:row>
    <x:row r="113" ht="20" customHeight="1">
      <x:c r="A113" s="34" t="str">
        <x:v>Samore</x:v>
      </x:c>
      <x:c r="B113" s="34" t="str"/>
      <x:c r="C113" s="35" t="str">
        <x:v>CC</x:v>
      </x:c>
      <x:c r="D113" s="36" t="str">
        <x:v>60420681</x:v>
      </x:c>
      <x:c r="E113" s="34" t="str">
        <x:v>Ligia</x:v>
      </x:c>
      <x:c r="F113" s="34" t="str">
        <x:v>Contreras Tarazona</x:v>
      </x:c>
      <x:c r="G113" s="34" t="str">
        <x:v>Auxiliar De Aseo Y Cafeteria</x:v>
      </x:c>
      <x:c r="H113" s="37" t="n">
        <x:v>46024</x:v>
      </x:c>
      <x:c r="I113" s="35" t="str">
        <x:v>Activo</x:v>
      </x:c>
      <x:c r="J113" s="35" t="str">
        <x:v>Sin diligenciar</x:v>
      </x:c>
    </x:row>
    <x:row r="114" ht="20" customHeight="1">
      <x:c r="A114" s="34" t="str">
        <x:v>Santa Rosa</x:v>
      </x:c>
      <x:c r="B114" s="34" t="str"/>
      <x:c r="C114" s="35" t="str">
        <x:v>CC</x:v>
      </x:c>
      <x:c r="D114" s="36" t="str">
        <x:v>1005303933</x:v>
      </x:c>
      <x:c r="E114" s="34" t="str">
        <x:v>Angie Paola</x:v>
      </x:c>
      <x:c r="F114" s="34" t="str">
        <x:v>Ariza Quiroga</x:v>
      </x:c>
      <x:c r="G114" s="34" t="str">
        <x:v>Auxiliar De Cocina</x:v>
      </x:c>
      <x:c r="H114" s="37" t="n">
        <x:v>45790</x:v>
      </x:c>
      <x:c r="I114" s="35" t="str">
        <x:v>Activo</x:v>
      </x:c>
      <x:c r="J114" s="35" t="str">
        <x:v>Sin diligenciar</x:v>
      </x:c>
    </x:row>
    <x:row r="115" ht="20" customHeight="1">
      <x:c r="A115" s="34" t="str">
        <x:v>Santa Rosa</x:v>
      </x:c>
      <x:c r="B115" s="34" t="str"/>
      <x:c r="C115" s="35" t="str">
        <x:v>CC</x:v>
      </x:c>
      <x:c r="D115" s="36" t="str">
        <x:v>1005303650</x:v>
      </x:c>
      <x:c r="E115" s="34" t="str">
        <x:v>Yenny Marcela</x:v>
      </x:c>
      <x:c r="F115" s="34" t="str">
        <x:v>Ariza Quiroga</x:v>
      </x:c>
      <x:c r="G115" s="34" t="str">
        <x:v>Auxiliar De Aseo Y Cafeteria</x:v>
      </x:c>
      <x:c r="H115" s="37" t="n">
        <x:v>46138</x:v>
      </x:c>
      <x:c r="I115" s="35" t="str">
        <x:v>Activo</x:v>
      </x:c>
      <x:c r="J115" s="35" t="str">
        <x:v>Sin diligenciar</x:v>
      </x:c>
    </x:row>
    <x:row r="116" ht="20" customHeight="1">
      <x:c r="A116" s="34" t="str">
        <x:v>Santa Rosa</x:v>
      </x:c>
      <x:c r="B116" s="34" t="str"/>
      <x:c r="C116" s="35" t="str">
        <x:v>CC</x:v>
      </x:c>
      <x:c r="D116" s="36" t="str">
        <x:v>1091671410</x:v>
      </x:c>
      <x:c r="E116" s="34" t="str">
        <x:v>Brandon Francisco</x:v>
      </x:c>
      <x:c r="F116" s="34" t="str">
        <x:v>Aro Diaz</x:v>
      </x:c>
      <x:c r="G116" s="34" t="str">
        <x:v>Chef</x:v>
      </x:c>
      <x:c r="H116" s="37" t="n">
        <x:v>45597</x:v>
      </x:c>
      <x:c r="I116" s="35" t="str">
        <x:v>Activo</x:v>
      </x:c>
      <x:c r="J116" s="35" t="str">
        <x:v>Sin diligenciar</x:v>
      </x:c>
    </x:row>
    <x:row r="117" ht="20" customHeight="1">
      <x:c r="A117" s="34" t="str">
        <x:v>Santa Rosa</x:v>
      </x:c>
      <x:c r="B117" s="34" t="str"/>
      <x:c r="C117" s="35" t="str">
        <x:v>CC</x:v>
      </x:c>
      <x:c r="D117" s="36" t="str">
        <x:v>1096482182</x:v>
      </x:c>
      <x:c r="E117" s="34" t="str">
        <x:v>Angie Lorena</x:v>
      </x:c>
      <x:c r="F117" s="34" t="str">
        <x:v>Gamboa Arevalo</x:v>
      </x:c>
      <x:c r="G117" s="34" t="str">
        <x:v>Auxiliar De Aseo Y Cafeteria</x:v>
      </x:c>
      <x:c r="H117" s="37" t="n">
        <x:v>45752</x:v>
      </x:c>
      <x:c r="I117" s="35" t="str">
        <x:v>Activo</x:v>
      </x:c>
      <x:c r="J117" s="35" t="str">
        <x:v>Sin diligenciar</x:v>
      </x:c>
    </x:row>
    <x:row r="118" ht="20" customHeight="1">
      <x:c r="A118" s="34" t="str">
        <x:v>Santa Rosa</x:v>
      </x:c>
      <x:c r="B118" s="34" t="str"/>
      <x:c r="C118" s="35" t="str">
        <x:v>CC</x:v>
      </x:c>
      <x:c r="D118" s="36" t="str">
        <x:v>1096482300</x:v>
      </x:c>
      <x:c r="E118" s="34" t="str">
        <x:v>Yeidy Lineth</x:v>
      </x:c>
      <x:c r="F118" s="34" t="str">
        <x:v>Gil Forero</x:v>
      </x:c>
      <x:c r="G118" s="34" t="str">
        <x:v>Auxiliar De Aseo Y Cafeteria</x:v>
      </x:c>
      <x:c r="H118" s="37" t="n">
        <x:v>45771</x:v>
      </x:c>
      <x:c r="I118" s="35" t="str">
        <x:v>Activo</x:v>
      </x:c>
      <x:c r="J118" s="35" t="str">
        <x:v>Sin diligenciar</x:v>
      </x:c>
    </x:row>
    <x:row r="119" ht="20" customHeight="1">
      <x:c r="A119" s="34" t="str">
        <x:v>Santa Rosa</x:v>
      </x:c>
      <x:c r="B119" s="34" t="str"/>
      <x:c r="C119" s="35" t="str">
        <x:v>CC</x:v>
      </x:c>
      <x:c r="D119" s="36" t="str">
        <x:v>1025525213</x:v>
      </x:c>
      <x:c r="E119" s="34" t="str">
        <x:v>Yerly Catalina</x:v>
      </x:c>
      <x:c r="F119" s="34" t="str">
        <x:v>Lopez Vargas</x:v>
      </x:c>
      <x:c r="G119" s="34" t="str">
        <x:v>Auxiliar De Aseo Y Cafeteria</x:v>
      </x:c>
      <x:c r="H119" s="37" t="n">
        <x:v>46135</x:v>
      </x:c>
      <x:c r="I119" s="35" t="str">
        <x:v>Activo</x:v>
      </x:c>
      <x:c r="J119" s="35" t="str">
        <x:v>Sin diligenciar</x:v>
      </x:c>
    </x:row>
    <x:row r="120" ht="20" customHeight="1">
      <x:c r="A120" s="34" t="str">
        <x:v>Sin centro asignado</x:v>
      </x:c>
      <x:c r="B120" s="34" t="str"/>
      <x:c r="C120" s="35" t="str">
        <x:v>CC</x:v>
      </x:c>
      <x:c r="D120" s="36" t="str">
        <x:v>1193424581</x:v>
      </x:c>
      <x:c r="E120" s="34" t="str">
        <x:v>Ricardo Antonio</x:v>
      </x:c>
      <x:c r="F120" s="34" t="str">
        <x:v>Acosta Pedrozo</x:v>
      </x:c>
      <x:c r="G120" s="34" t="str">
        <x:v>Sin cargo registrado</x:v>
      </x:c>
      <x:c r="H120" s="37"/>
      <x:c r="I120" s="35" t="str">
        <x:v>Activo</x:v>
      </x:c>
      <x:c r="J120" s="35" t="str">
        <x:v>Sin diligenciar</x:v>
      </x:c>
    </x:row>
    <x:row r="121" ht="20" customHeight="1">
      <x:c r="A121" s="34" t="str">
        <x:v>Sin centro asignado</x:v>
      </x:c>
      <x:c r="B121" s="34" t="str"/>
      <x:c r="C121" s="35" t="str">
        <x:v>CC</x:v>
      </x:c>
      <x:c r="D121" s="36" t="str">
        <x:v>1103740491</x:v>
      </x:c>
      <x:c r="E121" s="34" t="str">
        <x:v>Orlando Melquisedec Junior</x:v>
      </x:c>
      <x:c r="F121" s="34" t="str">
        <x:v>Alvarez Meza</x:v>
      </x:c>
      <x:c r="G121" s="34" t="str">
        <x:v>Sin cargo registrado</x:v>
      </x:c>
      <x:c r="H121" s="37"/>
      <x:c r="I121" s="35" t="str">
        <x:v>Activo</x:v>
      </x:c>
      <x:c r="J121" s="35" t="str">
        <x:v>Sin diligenciar</x:v>
      </x:c>
    </x:row>
    <x:row r="122" ht="20" customHeight="1">
      <x:c r="A122" s="34" t="str">
        <x:v>Sin centro asignado</x:v>
      </x:c>
      <x:c r="B122" s="34" t="str"/>
      <x:c r="C122" s="35" t="str">
        <x:v>CC</x:v>
      </x:c>
      <x:c r="D122" s="36" t="str">
        <x:v>63511398</x:v>
      </x:c>
      <x:c r="E122" s="34" t="str">
        <x:v>Gloria Amparo</x:v>
      </x:c>
      <x:c r="F122" s="34" t="str">
        <x:v>Bautista Tobo</x:v>
      </x:c>
      <x:c r="G122" s="34" t="str">
        <x:v>Sin cargo registrado</x:v>
      </x:c>
      <x:c r="H122" s="37"/>
      <x:c r="I122" s="35" t="str">
        <x:v>Activo</x:v>
      </x:c>
      <x:c r="J122" s="35" t="str">
        <x:v>Sin diligenciar</x:v>
      </x:c>
    </x:row>
    <x:row r="123" ht="20" customHeight="1">
      <x:c r="A123" s="34" t="str">
        <x:v>Sin centro asignado</x:v>
      </x:c>
      <x:c r="B123" s="34" t="str"/>
      <x:c r="C123" s="35" t="str">
        <x:v>CC</x:v>
      </x:c>
      <x:c r="D123" s="36" t="str">
        <x:v>91296123</x:v>
      </x:c>
      <x:c r="E123" s="34" t="str">
        <x:v>Ramiro</x:v>
      </x:c>
      <x:c r="F123" s="34" t="str">
        <x:v>Chaparro Cardozo</x:v>
      </x:c>
      <x:c r="G123" s="34" t="str">
        <x:v>Sin cargo registrado</x:v>
      </x:c>
      <x:c r="H123" s="37"/>
      <x:c r="I123" s="35" t="str">
        <x:v>Activo</x:v>
      </x:c>
      <x:c r="J123" s="35" t="str">
        <x:v>Sin diligenciar</x:v>
      </x:c>
    </x:row>
    <x:row r="124" ht="20" customHeight="1">
      <x:c r="A124" s="34" t="str">
        <x:v>Sin centro asignado</x:v>
      </x:c>
      <x:c r="B124" s="34" t="str"/>
      <x:c r="C124" s="35" t="str">
        <x:v>CC</x:v>
      </x:c>
      <x:c r="D124" s="36" t="str">
        <x:v>1005332468</x:v>
      </x:c>
      <x:c r="E124" s="34" t="str">
        <x:v>Liceth Natalia</x:v>
      </x:c>
      <x:c r="F124" s="34" t="str">
        <x:v>Holguin Parada</x:v>
      </x:c>
      <x:c r="G124" s="34" t="str">
        <x:v>Sin cargo registrado</x:v>
      </x:c>
      <x:c r="H124" s="37"/>
      <x:c r="I124" s="35" t="str">
        <x:v>Activo</x:v>
      </x:c>
      <x:c r="J124" s="35" t="str">
        <x:v>Sin diligenciar</x:v>
      </x:c>
    </x:row>
    <x:row r="125" ht="20" customHeight="1">
      <x:c r="A125" s="34" t="str">
        <x:v>Sin centro asignado</x:v>
      </x:c>
      <x:c r="B125" s="34" t="str"/>
      <x:c r="C125" s="35" t="str">
        <x:v>CC</x:v>
      </x:c>
      <x:c r="D125" s="36" t="str">
        <x:v>37544141</x:v>
      </x:c>
      <x:c r="E125" s="34" t="str">
        <x:v>Ana Milena</x:v>
      </x:c>
      <x:c r="F125" s="34" t="str">
        <x:v>Moreno Cristancho</x:v>
      </x:c>
      <x:c r="G125" s="34" t="str">
        <x:v>Sin cargo registrado</x:v>
      </x:c>
      <x:c r="H125" s="37"/>
      <x:c r="I125" s="35" t="str">
        <x:v>Activo</x:v>
      </x:c>
      <x:c r="J125" s="35" t="str">
        <x:v>Sin diligenciar</x:v>
      </x:c>
    </x:row>
    <x:row r="126" ht="20" customHeight="1">
      <x:c r="A126" s="34" t="str">
        <x:v>Sin centro asignado</x:v>
      </x:c>
      <x:c r="B126" s="34" t="str"/>
      <x:c r="C126" s="35" t="str">
        <x:v>CC</x:v>
      </x:c>
      <x:c r="D126" s="36" t="str">
        <x:v>28151909</x:v>
      </x:c>
      <x:c r="E126" s="34" t="str">
        <x:v>Sonia Amparo</x:v>
      </x:c>
      <x:c r="F126" s="34" t="str">
        <x:v>Rueda Galvis</x:v>
      </x:c>
      <x:c r="G126" s="34" t="str">
        <x:v>Sin cargo registrado</x:v>
      </x:c>
      <x:c r="H126" s="37"/>
      <x:c r="I126" s="35" t="str">
        <x:v>Activo</x:v>
      </x:c>
      <x:c r="J126" s="35" t="str">
        <x:v>Sin diligenciar</x:v>
      </x:c>
    </x:row>
    <x:row r="127" ht="20" customHeight="1">
      <x:c r="A127" s="34" t="str">
        <x:v>Tibu</x:v>
      </x:c>
      <x:c r="B127" s="34" t="str"/>
      <x:c r="C127" s="35" t="str">
        <x:v>CC</x:v>
      </x:c>
      <x:c r="D127" s="36" t="str">
        <x:v>6663273</x:v>
      </x:c>
      <x:c r="E127" s="34" t="str">
        <x:v>Berenice</x:v>
      </x:c>
      <x:c r="F127" s="34" t="str">
        <x:v>Bayona Quintero</x:v>
      </x:c>
      <x:c r="G127" s="34" t="str">
        <x:v>Cocinera</x:v>
      </x:c>
      <x:c r="H127" s="37" t="n">
        <x:v>45689</x:v>
      </x:c>
      <x:c r="I127" s="35" t="str">
        <x:v>Activo</x:v>
      </x:c>
      <x:c r="J127" s="35" t="str">
        <x:v>Sin diligenciar</x:v>
      </x:c>
    </x:row>
    <x:row r="128" ht="20" customHeight="1">
      <x:c r="A128" s="34" t="str">
        <x:v>Tibu</x:v>
      </x:c>
      <x:c r="B128" s="34" t="str"/>
      <x:c r="C128" s="35" t="str">
        <x:v>CC</x:v>
      </x:c>
      <x:c r="D128" s="36" t="str">
        <x:v>27601798</x:v>
      </x:c>
      <x:c r="E128" s="34" t="str">
        <x:v>Luzdary</x:v>
      </x:c>
      <x:c r="F128" s="34" t="str">
        <x:v>Duran Torres</x:v>
      </x:c>
      <x:c r="G128" s="34" t="str">
        <x:v>Auxiliar De Aseo Y Cafeteria</x:v>
      </x:c>
      <x:c r="H128" s="37" t="n">
        <x:v>46038</x:v>
      </x:c>
      <x:c r="I128" s="35" t="str">
        <x:v>Activo</x:v>
      </x:c>
      <x:c r="J128" s="35" t="str">
        <x:v>Sin diligenciar</x:v>
      </x:c>
    </x:row>
    <x:row r="129" ht="20" customHeight="1">
      <x:c r="A129" s="34" t="str">
        <x:v>Tibu</x:v>
      </x:c>
      <x:c r="B129" s="34" t="str"/>
      <x:c r="C129" s="35" t="str">
        <x:v>CC</x:v>
      </x:c>
      <x:c r="D129" s="36" t="str">
        <x:v>1054543129</x:v>
      </x:c>
      <x:c r="E129" s="34" t="str">
        <x:v>Jose Andres</x:v>
      </x:c>
      <x:c r="F129" s="34" t="str">
        <x:v>Garcia Garcia</x:v>
      </x:c>
      <x:c r="G129" s="34" t="str">
        <x:v>Cocinero</x:v>
      </x:c>
      <x:c r="H129" s="37" t="n">
        <x:v>45689</x:v>
      </x:c>
      <x:c r="I129" s="35" t="str">
        <x:v>Activo</x:v>
      </x:c>
      <x:c r="J129" s="35" t="str">
        <x:v>Sin diligenciar</x:v>
      </x:c>
    </x:row>
    <x:row r="130" ht="20" customHeight="1">
      <x:c r="A130" s="34" t="str">
        <x:v>Tibu</x:v>
      </x:c>
      <x:c r="B130" s="34" t="str"/>
      <x:c r="C130" s="35" t="str">
        <x:v>CC</x:v>
      </x:c>
      <x:c r="D130" s="36" t="str">
        <x:v>91448691</x:v>
      </x:c>
      <x:c r="E130" s="34" t="str">
        <x:v>Victor Alfonso</x:v>
      </x:c>
      <x:c r="F130" s="34" t="str">
        <x:v>Gonzalez Acosta</x:v>
      </x:c>
      <x:c r="G130" s="34" t="str">
        <x:v>Cocinero</x:v>
      </x:c>
      <x:c r="H130" s="37" t="n">
        <x:v>45689</x:v>
      </x:c>
      <x:c r="I130" s="35" t="str">
        <x:v>Activo</x:v>
      </x:c>
      <x:c r="J130" s="35" t="str">
        <x:v>Sin diligenciar</x:v>
      </x:c>
    </x:row>
    <x:row r="131" ht="20" customHeight="1">
      <x:c r="A131" s="34" t="str">
        <x:v>Tibu</x:v>
      </x:c>
      <x:c r="B131" s="34" t="str"/>
      <x:c r="C131" s="35" t="str">
        <x:v>CC</x:v>
      </x:c>
      <x:c r="D131" s="36" t="str">
        <x:v>13865476</x:v>
      </x:c>
      <x:c r="E131" s="34" t="str">
        <x:v>Ariel</x:v>
      </x:c>
      <x:c r="F131" s="34" t="str">
        <x:v>Hernandez Garcia</x:v>
      </x:c>
      <x:c r="G131" s="34" t="str">
        <x:v>Cocinero</x:v>
      </x:c>
      <x:c r="H131" s="37" t="n">
        <x:v>45689</x:v>
      </x:c>
      <x:c r="I131" s="35" t="str">
        <x:v>Activo</x:v>
      </x:c>
      <x:c r="J131" s="35" t="str">
        <x:v>Sin diligenciar</x:v>
      </x:c>
    </x:row>
    <x:row r="132" ht="20" customHeight="1">
      <x:c r="A132" s="34" t="str">
        <x:v>Tibu</x:v>
      </x:c>
      <x:c r="B132" s="34" t="str"/>
      <x:c r="C132" s="35" t="str">
        <x:v>CC</x:v>
      </x:c>
      <x:c r="D132" s="36" t="str">
        <x:v>63447688</x:v>
      </x:c>
      <x:c r="E132" s="34" t="str">
        <x:v>Martha Patricia</x:v>
      </x:c>
      <x:c r="F132" s="34" t="str">
        <x:v>Medina Diaz</x:v>
      </x:c>
      <x:c r="G132" s="34" t="str">
        <x:v>Supervisor Relevante</x:v>
      </x:c>
      <x:c r="H132" s="37" t="n">
        <x:v>46069</x:v>
      </x:c>
      <x:c r="I132" s="35" t="str">
        <x:v>Activo</x:v>
      </x:c>
      <x:c r="J132" s="35" t="str">
        <x:v>Sin diligenciar</x:v>
      </x:c>
    </x:row>
    <x:row r="133" ht="20" customHeight="1">
      <x:c r="A133" s="34" t="str">
        <x:v>Tibu</x:v>
      </x:c>
      <x:c r="B133" s="34" t="str"/>
      <x:c r="C133" s="35" t="str">
        <x:v>CC</x:v>
      </x:c>
      <x:c r="D133" s="36" t="str">
        <x:v>1005047818</x:v>
      </x:c>
      <x:c r="E133" s="34" t="str">
        <x:v>Gustavo Alexis</x:v>
      </x:c>
      <x:c r="F133" s="34" t="str">
        <x:v>Meneses Buitrago</x:v>
      </x:c>
      <x:c r="G133" s="34" t="str">
        <x:v>Cocinero</x:v>
      </x:c>
      <x:c r="H133" s="37" t="n">
        <x:v>46113</x:v>
      </x:c>
      <x:c r="I133" s="35" t="str">
        <x:v>Activo</x:v>
      </x:c>
      <x:c r="J133" s="35" t="str">
        <x:v>Sin diligenciar</x:v>
      </x:c>
    </x:row>
    <x:row r="134" ht="20" customHeight="1">
      <x:c r="A134" s="34" t="str">
        <x:v>Velasquez</x:v>
      </x:c>
      <x:c r="B134" s="34" t="str"/>
      <x:c r="C134" s="35" t="str">
        <x:v>CC</x:v>
      </x:c>
      <x:c r="D134" s="36" t="str">
        <x:v>98504614</x:v>
      </x:c>
      <x:c r="E134" s="34" t="str">
        <x:v>Edwin Enrique</x:v>
      </x:c>
      <x:c r="F134" s="34" t="str">
        <x:v>Chacon</x:v>
      </x:c>
      <x:c r="G134" s="34" t="str">
        <x:v>Chef</x:v>
      </x:c>
      <x:c r="H134" s="37" t="n">
        <x:v>45630</x:v>
      </x:c>
      <x:c r="I134" s="35" t="str">
        <x:v>Activo</x:v>
      </x:c>
      <x:c r="J134" s="35" t="str">
        <x:v>Sin diligenciar</x:v>
      </x:c>
    </x:row>
    <x:row r="135" ht="20" customHeight="1">
      <x:c r="A135" s="34" t="str">
        <x:v>Velasquez</x:v>
      </x:c>
      <x:c r="B135" s="34" t="str"/>
      <x:c r="C135" s="35" t="str">
        <x:v>CC</x:v>
      </x:c>
      <x:c r="D135" s="36" t="str">
        <x:v>52386993</x:v>
      </x:c>
      <x:c r="E135" s="34" t="str">
        <x:v>Jaquelinne</x:v>
      </x:c>
      <x:c r="F135" s="34" t="str">
        <x:v>Lozano Ortiz</x:v>
      </x:c>
      <x:c r="G135" s="34" t="str">
        <x:v>Auxiliar De Servicios Generales</x:v>
      </x:c>
      <x:c r="H135" s="37" t="n">
        <x:v>45630</x:v>
      </x:c>
      <x:c r="I135" s="35" t="str">
        <x:v>Activo</x:v>
      </x:c>
      <x:c r="J135" s="35" t="str">
        <x:v>Sin diligenciar</x:v>
      </x:c>
    </x:row>
    <x:row r="136" ht="20" customHeight="1">
      <x:c r="A136" s="34" t="str">
        <x:v>Velasquez</x:v>
      </x:c>
      <x:c r="B136" s="34" t="str"/>
      <x:c r="C136" s="35" t="str">
        <x:v>CC</x:v>
      </x:c>
      <x:c r="D136" s="36" t="str">
        <x:v>24713999</x:v>
      </x:c>
      <x:c r="E136" s="34" t="str">
        <x:v>Luz Mery</x:v>
      </x:c>
      <x:c r="F136" s="34" t="str">
        <x:v>Patiño</x:v>
      </x:c>
      <x:c r="G136" s="34" t="str">
        <x:v>Auxiliar De Casino</x:v>
      </x:c>
      <x:c r="H136" s="37" t="n">
        <x:v>46001</x:v>
      </x:c>
      <x:c r="I136" s="35" t="str">
        <x:v>Activo</x:v>
      </x:c>
      <x:c r="J136" s="35" t="str">
        <x:v>Sin diligenciar</x:v>
      </x:c>
    </x:row>
    <x:row r="137" ht="20" customHeight="1">
      <x:c r="A137" s="34" t="str">
        <x:v>Velasquez</x:v>
      </x:c>
      <x:c r="B137" s="34" t="str"/>
      <x:c r="C137" s="35" t="str">
        <x:v>CC</x:v>
      </x:c>
      <x:c r="D137" s="36" t="str">
        <x:v>46646731</x:v>
      </x:c>
      <x:c r="E137" s="34" t="str">
        <x:v>Consuelo</x:v>
      </x:c>
      <x:c r="F137" s="34" t="str">
        <x:v>Suarez Villalba</x:v>
      </x:c>
      <x:c r="G137" s="34" t="str">
        <x:v>Cocinera</x:v>
      </x:c>
      <x:c r="H137" s="37" t="n">
        <x:v>45756</x:v>
      </x:c>
      <x:c r="I137" s="35" t="str">
        <x:v>Activo</x:v>
      </x:c>
      <x:c r="J137" s="35" t="str">
        <x:v>Sin diligenciar</x:v>
      </x:c>
    </x:row>
    <x:row r="138" ht="20" customHeight="1">
      <x:c r="A138" s="38" t="str">
        <x:v>Velasquez</x:v>
      </x:c>
      <x:c r="B138" s="38" t="str"/>
      <x:c r="C138" s="39" t="str">
        <x:v>CC</x:v>
      </x:c>
      <x:c r="D138" s="40" t="str">
        <x:v>1056773603</x:v>
      </x:c>
      <x:c r="E138" s="38" t="str">
        <x:v>Hernan Dario</x:v>
      </x:c>
      <x:c r="F138" s="38" t="str">
        <x:v>Suaza Torres</x:v>
      </x:c>
      <x:c r="G138" s="38" t="str">
        <x:v>Bodeguero</x:v>
      </x:c>
      <x:c r="H138" s="41" t="n">
        <x:v>45871</x:v>
      </x:c>
      <x:c r="I138" s="39" t="str">
        <x:v>Activo</x:v>
      </x:c>
      <x:c r="J138" s="39" t="str">
        <x:v>Sin diligenciar</x:v>
      </x:c>
    </x:row>
  </x:sheetData>
  <x:mergeCells>
    <x:mergeCell ref="A1:J1"/>
    <x:mergeCell ref="A2:J2"/>
    <x:mergeCell ref="A3:J3"/>
  </x:mergeCells>
  <x:conditionalFormatting sqref="J5:J138">
    <x:cfRule type="containsText" dxfId="0" priority="1" operator="containsText" text="Sin diligenciar"/>
  </x:conditionalFormatting>
  <x:pageMargins left="0.7" right="0.7" top="0.75" bottom="0.75" header="0.3" footer="0.3"/>
  <x:tableParts count="1">
    <x:tablePart xmlns:r="http://schemas.openxmlformats.org/officeDocument/2006/relationships" r:id="R95d8ef6029924e78"/>
  </x:tableParts>
</x:worksheet>
</file>